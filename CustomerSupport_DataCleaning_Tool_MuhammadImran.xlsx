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 (Messy)" sheetId="1" state="visible" r:id="rId3"/>
    <sheet name="Clean Data (After Macro)" sheetId="2" state="visible" r:id="rId4"/>
    <sheet name="VBA Macro Code" sheetId="3" state="visible" r:id="rId5"/>
    <sheet name="Cleaning Log" sheetId="4" state="visible" r:id="rId6"/>
    <sheet name="SQL Queries" sheetId="5" state="visible" r:id="rId7"/>
    <sheet name="Summary Report" sheetId="6" state="visible" r:id="rId8"/>
  </sheets>
  <definedNames>
    <definedName function="false" hidden="true" localSheetId="1" name="_xlnm._FilterDatabase" vbProcedure="false">'Clean Data (After Macro)'!$A$3:$L$3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<sst xmlns="http://schemas.openxmlformats.org/spreadsheetml/2006/main" count="788" uniqueCount="448">
  <si>
    <t xml:space="preserve">⚠️  RAW DATA — Unclean Customer Support Dataset (Before Macro)</t>
  </si>
  <si>
    <t xml:space="preserve">Ticket_ID</t>
  </si>
  <si>
    <t xml:space="preserve">Customer_Name</t>
  </si>
  <si>
    <t xml:space="preserve">Email</t>
  </si>
  <si>
    <t xml:space="preserve">Phone</t>
  </si>
  <si>
    <t xml:space="preserve">Issue_Category</t>
  </si>
  <si>
    <t xml:space="preserve">Priority</t>
  </si>
  <si>
    <t xml:space="preserve">Status</t>
  </si>
  <si>
    <t xml:space="preserve">Created_Date</t>
  </si>
  <si>
    <t xml:space="preserve">Resolved_Date</t>
  </si>
  <si>
    <t xml:space="preserve">Agent_Name</t>
  </si>
  <si>
    <t xml:space="preserve">CSAT_Score</t>
  </si>
  <si>
    <t xml:space="preserve">Resolution_Time_Hrs</t>
  </si>
  <si>
    <t xml:space="preserve">TKT001</t>
  </si>
  <si>
    <t xml:space="preserve">Rahul Gupta</t>
  </si>
  <si>
    <t xml:space="preserve">rahul@gmail.com</t>
  </si>
  <si>
    <t xml:space="preserve">9876543210</t>
  </si>
  <si>
    <t xml:space="preserve">Billing Issue</t>
  </si>
  <si>
    <t xml:space="preserve">High</t>
  </si>
  <si>
    <t xml:space="preserve">Resolved</t>
  </si>
  <si>
    <t xml:space="preserve">2024-01-05</t>
  </si>
  <si>
    <t xml:space="preserve">2024-01-06</t>
  </si>
  <si>
    <t xml:space="preserve">Riya Sharma</t>
  </si>
  <si>
    <t xml:space="preserve">TKT002</t>
  </si>
  <si>
    <t xml:space="preserve">  rahul gupta</t>
  </si>
  <si>
    <t xml:space="preserve">98765 43210</t>
  </si>
  <si>
    <t xml:space="preserve">billing issue</t>
  </si>
  <si>
    <t xml:space="preserve">HIGH</t>
  </si>
  <si>
    <t xml:space="preserve">RESOLVED</t>
  </si>
  <si>
    <t xml:space="preserve">05-01-2024</t>
  </si>
  <si>
    <t xml:space="preserve">06-01-2024</t>
  </si>
  <si>
    <t xml:space="preserve">riya sharma</t>
  </si>
  <si>
    <t xml:space="preserve">TKT003</t>
  </si>
  <si>
    <t xml:space="preserve">Sneha Patel</t>
  </si>
  <si>
    <t xml:space="preserve">sneha.patel@yahoo.com</t>
  </si>
  <si>
    <t xml:space="preserve">9988776655</t>
  </si>
  <si>
    <t xml:space="preserve">Technical Support</t>
  </si>
  <si>
    <t xml:space="preserve">Medium</t>
  </si>
  <si>
    <t xml:space="preserve">Open</t>
  </si>
  <si>
    <t xml:space="preserve">2024-01-07</t>
  </si>
  <si>
    <t xml:space="preserve">Amit Verma</t>
  </si>
  <si>
    <t xml:space="preserve">TKT004</t>
  </si>
  <si>
    <t xml:space="preserve">sneha patel</t>
  </si>
  <si>
    <t xml:space="preserve">SNEHApatel@yahoo.com</t>
  </si>
  <si>
    <t xml:space="preserve">99887 76655</t>
  </si>
  <si>
    <t xml:space="preserve">MEDIUM</t>
  </si>
  <si>
    <t xml:space="preserve">open</t>
  </si>
  <si>
    <t xml:space="preserve">07/01/2024</t>
  </si>
  <si>
    <t xml:space="preserve">AMIT VERMA</t>
  </si>
  <si>
    <t xml:space="preserve">TKT005</t>
  </si>
  <si>
    <t xml:space="preserve">Arjun Singh</t>
  </si>
  <si>
    <t xml:space="preserve">arjun.singh@hotmail.com</t>
  </si>
  <si>
    <t xml:space="preserve">8877665544</t>
  </si>
  <si>
    <t xml:space="preserve">Refund Request</t>
  </si>
  <si>
    <t xml:space="preserve">Low</t>
  </si>
  <si>
    <t xml:space="preserve">Closed</t>
  </si>
  <si>
    <t xml:space="preserve">2024-01-08</t>
  </si>
  <si>
    <t xml:space="preserve">2024-01-10</t>
  </si>
  <si>
    <t xml:space="preserve">Priya Singh</t>
  </si>
  <si>
    <t xml:space="preserve">TKT006</t>
  </si>
  <si>
    <t xml:space="preserve">Mohammed Khan</t>
  </si>
  <si>
    <t xml:space="preserve">m.khan@gmail.com</t>
  </si>
  <si>
    <t xml:space="preserve">88776 65544</t>
  </si>
  <si>
    <t xml:space="preserve">Account Access</t>
  </si>
  <si>
    <t xml:space="preserve">Critical</t>
  </si>
  <si>
    <t xml:space="preserve">Pending</t>
  </si>
  <si>
    <t xml:space="preserve">2024-01-09</t>
  </si>
  <si>
    <t xml:space="preserve">Deepak Rao</t>
  </si>
  <si>
    <t xml:space="preserve">0</t>
  </si>
  <si>
    <t xml:space="preserve">TKT007</t>
  </si>
  <si>
    <t xml:space="preserve">Pooja Mehta</t>
  </si>
  <si>
    <t xml:space="preserve">pooja@outlook.com</t>
  </si>
  <si>
    <t xml:space="preserve">7766554433</t>
  </si>
  <si>
    <t xml:space="preserve">Shipping Delay</t>
  </si>
  <si>
    <t xml:space="preserve">2024-01-11</t>
  </si>
  <si>
    <t xml:space="preserve">Neha Gupta</t>
  </si>
  <si>
    <t xml:space="preserve">TKT008</t>
  </si>
  <si>
    <t xml:space="preserve">  Pooja Mehta  </t>
  </si>
  <si>
    <t xml:space="preserve">77665-54433</t>
  </si>
  <si>
    <t xml:space="preserve">shipping delay</t>
  </si>
  <si>
    <t xml:space="preserve">high</t>
  </si>
  <si>
    <t xml:space="preserve">resolved</t>
  </si>
  <si>
    <t xml:space="preserve">10-01-2024</t>
  </si>
  <si>
    <t xml:space="preserve">11-01-2024</t>
  </si>
  <si>
    <t xml:space="preserve">neha gupta</t>
  </si>
  <si>
    <t xml:space="preserve">4</t>
  </si>
  <si>
    <t xml:space="preserve">TKT009</t>
  </si>
  <si>
    <t xml:space="preserve">Vikram Nair</t>
  </si>
  <si>
    <t xml:space="preserve">vikram.n@gmail.com</t>
  </si>
  <si>
    <t xml:space="preserve">6655443322</t>
  </si>
  <si>
    <t xml:space="preserve">Product Defect</t>
  </si>
  <si>
    <t xml:space="preserve">TKT010</t>
  </si>
  <si>
    <t xml:space="preserve">Kavya Reddy</t>
  </si>
  <si>
    <t xml:space="preserve">kavya.r@rediff.com</t>
  </si>
  <si>
    <t xml:space="preserve">66-5544-3322</t>
  </si>
  <si>
    <t xml:space="preserve">2024-01-12</t>
  </si>
  <si>
    <t xml:space="preserve">2024-01-15</t>
  </si>
  <si>
    <t xml:space="preserve">TKT011</t>
  </si>
  <si>
    <t xml:space="preserve">KAVYA REDDY</t>
  </si>
  <si>
    <t xml:space="preserve">KAVYA.R@REDIFF.COM</t>
  </si>
  <si>
    <t xml:space="preserve">5544332211</t>
  </si>
  <si>
    <t xml:space="preserve">product defect</t>
  </si>
  <si>
    <t xml:space="preserve">LOW</t>
  </si>
  <si>
    <t xml:space="preserve">12/01/2024</t>
  </si>
  <si>
    <t xml:space="preserve">15/01/2024</t>
  </si>
  <si>
    <t xml:space="preserve">TKT012</t>
  </si>
  <si>
    <t xml:space="preserve">Suresh Kumar</t>
  </si>
  <si>
    <t xml:space="preserve">suresh@gmail.com</t>
  </si>
  <si>
    <t xml:space="preserve">55443 32211</t>
  </si>
  <si>
    <t xml:space="preserve">2024-01-13</t>
  </si>
  <si>
    <t xml:space="preserve">TKT013</t>
  </si>
  <si>
    <t xml:space="preserve">Ananya Das</t>
  </si>
  <si>
    <t xml:space="preserve">ananya@gmail.com</t>
  </si>
  <si>
    <t xml:space="preserve">9123456789</t>
  </si>
  <si>
    <t xml:space="preserve">2024-01-14</t>
  </si>
  <si>
    <t xml:space="preserve">2024-01-16</t>
  </si>
  <si>
    <t xml:space="preserve">TKT014</t>
  </si>
  <si>
    <t xml:space="preserve">TKT015</t>
  </si>
  <si>
    <t xml:space="preserve">987-654-3210</t>
  </si>
  <si>
    <t xml:space="preserve">TKT016</t>
  </si>
  <si>
    <t xml:space="preserve">Ritu Agarwal</t>
  </si>
  <si>
    <t xml:space="preserve">ritu@gmail.com</t>
  </si>
  <si>
    <t xml:space="preserve">9001122334</t>
  </si>
  <si>
    <t xml:space="preserve">2024-01-17</t>
  </si>
  <si>
    <t xml:space="preserve">2024-01-18</t>
  </si>
  <si>
    <t xml:space="preserve">TKT017</t>
  </si>
  <si>
    <t xml:space="preserve">Manish Tiwari</t>
  </si>
  <si>
    <t xml:space="preserve">manish.t@gmail.com</t>
  </si>
  <si>
    <t xml:space="preserve">9112233445</t>
  </si>
  <si>
    <t xml:space="preserve">2024-01-20</t>
  </si>
  <si>
    <t xml:space="preserve">TKT018</t>
  </si>
  <si>
    <t xml:space="preserve">MANISH TIWARI</t>
  </si>
  <si>
    <t xml:space="preserve">91122 33445</t>
  </si>
  <si>
    <t xml:space="preserve">closed</t>
  </si>
  <si>
    <t xml:space="preserve">18-01-2024</t>
  </si>
  <si>
    <t xml:space="preserve">20-01-2024</t>
  </si>
  <si>
    <t xml:space="preserve">amit verma</t>
  </si>
  <si>
    <t xml:space="preserve">TKT019</t>
  </si>
  <si>
    <t xml:space="preserve">Divya Nair</t>
  </si>
  <si>
    <t xml:space="preserve">divya.n@outlook.com</t>
  </si>
  <si>
    <t xml:space="preserve">9223344556</t>
  </si>
  <si>
    <t xml:space="preserve">2024-01-19</t>
  </si>
  <si>
    <t xml:space="preserve">TKT020</t>
  </si>
  <si>
    <t xml:space="preserve">Rohit Jain</t>
  </si>
  <si>
    <t xml:space="preserve">rohit.j@yahoo.com</t>
  </si>
  <si>
    <t xml:space="preserve">9334455667</t>
  </si>
  <si>
    <t xml:space="preserve">2024-01-22</t>
  </si>
  <si>
    <t xml:space="preserve">TKT022</t>
  </si>
  <si>
    <t xml:space="preserve">Prerna Gupta</t>
  </si>
  <si>
    <t xml:space="preserve">prerna@gmail.com</t>
  </si>
  <si>
    <t xml:space="preserve">9445566778</t>
  </si>
  <si>
    <t xml:space="preserve">2024-01-21</t>
  </si>
  <si>
    <t xml:space="preserve">TKT023</t>
  </si>
  <si>
    <t xml:space="preserve">Sameer Khanna</t>
  </si>
  <si>
    <t xml:space="preserve">sameer.k@gmail.com</t>
  </si>
  <si>
    <t xml:space="preserve">9556677889</t>
  </si>
  <si>
    <t xml:space="preserve">2024-01-24</t>
  </si>
  <si>
    <t xml:space="preserve">TKT024</t>
  </si>
  <si>
    <t xml:space="preserve">  sameer khanna  </t>
  </si>
  <si>
    <t xml:space="preserve">95566 77889</t>
  </si>
  <si>
    <t xml:space="preserve">refund request</t>
  </si>
  <si>
    <t xml:space="preserve">low</t>
  </si>
  <si>
    <t xml:space="preserve">22/01/2024</t>
  </si>
  <si>
    <t xml:space="preserve">24/01/2024</t>
  </si>
  <si>
    <t xml:space="preserve">TKT025</t>
  </si>
  <si>
    <t xml:space="preserve">Tanvi Bose</t>
  </si>
  <si>
    <t xml:space="preserve">tanvi.b@gmail.com</t>
  </si>
  <si>
    <t xml:space="preserve">9667788990</t>
  </si>
  <si>
    <t xml:space="preserve">2024-01-23</t>
  </si>
  <si>
    <t xml:space="preserve">2024-01-25</t>
  </si>
  <si>
    <t xml:space="preserve">✅  CLEAN DATA — After VBA Macro Execution</t>
  </si>
  <si>
    <t xml:space="preserve">Duplicates removed • Names standardized (Proper Case) • Dates unified (YYYY-MM-DD) • Status/Priority normalized • Missing values flagged</t>
  </si>
  <si>
    <t xml:space="preserve">N/A</t>
  </si>
  <si>
    <t xml:space="preserve">VBA Macro Code — Auto Data Cleaning Tool</t>
  </si>
  <si>
    <t xml:space="preserve">Copy this code → Open Excel → Press Alt+F11 → Insert Module → Paste → Press F5 to Run</t>
  </si>
  <si>
    <t xml:space="preserve">Option Explicit</t>
  </si>
  <si>
    <t xml:space="preserve">' ═══════════════════════════════════════════════════════════════</t>
  </si>
  <si>
    <t xml:space="preserve">'  MAIN MACRO — Auto Data Cleaning Tool</t>
  </si>
  <si>
    <t xml:space="preserve">'  Project : Customer Support Data Cleaning &amp; Reporting Tool</t>
  </si>
  <si>
    <t xml:space="preserve">'  Author  : Muhammad Imran | Data Analyst</t>
  </si>
  <si>
    <t xml:space="preserve">'  Date    : 2024</t>
  </si>
  <si>
    <t xml:space="preserve">'  Purpose : Automate data cleaning tasks on Raw Data sheet —</t>
  </si>
  <si>
    <t xml:space="preserve">'            Remove duplicates, standardize formats, flag missing</t>
  </si>
  <si>
    <t xml:space="preserve">'            values, normalize status &amp; priority fields</t>
  </si>
  <si>
    <t xml:space="preserve">Sub CleanCustomerSupportData()</t>
  </si>
  <si>
    <t xml:space="preserve">    Dim wsRaw    As Worksheet</t>
  </si>
  <si>
    <t xml:space="preserve">    Dim wsClean  As Worksheet</t>
  </si>
  <si>
    <t xml:space="preserve">    Dim wsLog    As Worksheet</t>
  </si>
  <si>
    <t xml:space="preserve">    Dim lastRow  As Long</t>
  </si>
  <si>
    <t xml:space="preserve">    Dim i        As Long</t>
  </si>
  <si>
    <t xml:space="preserve">    Dim j        As Long</t>
  </si>
  <si>
    <t xml:space="preserve">    Dim dupCount As Long</t>
  </si>
  <si>
    <t xml:space="preserve">    Dim blankCount As Long</t>
  </si>
  <si>
    <t xml:space="preserve">    Dim fixCount As Long</t>
  </si>
  <si>
    <t xml:space="preserve">    Application.ScreenUpdating = False</t>
  </si>
  <si>
    <t xml:space="preserve">    Application.Calculation   = xlCalculationManual</t>
  </si>
  <si>
    <t xml:space="preserve">    ' ── 1. Set sheet references ──────────────────────────────</t>
  </si>
  <si>
    <t xml:space="preserve">    Set wsRaw   = ThisWorkbook.Sheets("Raw Data (Messy)")</t>
  </si>
  <si>
    <t xml:space="preserve">    Set wsClean = ThisWorkbook.Sheets("Clean Data (After Macro)")</t>
  </si>
  <si>
    <t xml:space="preserve">    Set wsLog   = ThisWorkbook.Sheets("Cleaning Log")</t>
  </si>
  <si>
    <t xml:space="preserve">    lastRow  = wsRaw.Cells(wsRaw.Rows.Count, 1).End(xlUp).Row</t>
  </si>
  <si>
    <t xml:space="preserve">    dupCount = 0</t>
  </si>
  <si>
    <t xml:space="preserve">    blankCount = 0</t>
  </si>
  <si>
    <t xml:space="preserve">    fixCount = 0</t>
  </si>
  <si>
    <t xml:space="preserve">    MsgBox "Starting Data Cleaning..." &amp; Chr(10) &amp; _</t>
  </si>
  <si>
    <t xml:space="preserve">           "Total raw rows: " &amp; (lastRow - 2), vbInformation, "Auto Cleaner"</t>
  </si>
  <si>
    <t xml:space="preserve">    ' ── 2. STEP 1: Remove Duplicate Emails ──────────────────</t>
  </si>
  <si>
    <t xml:space="preserve">    '    Mark duplicates in column M (helper column)</t>
  </si>
  <si>
    <t xml:space="preserve">    Dim emailDict As Object</t>
  </si>
  <si>
    <t xml:space="preserve">    Set emailDict = CreateObject("Scripting.Dictionary")</t>
  </si>
  <si>
    <t xml:space="preserve">    For i = 3 To lastRow</t>
  </si>
  <si>
    <t xml:space="preserve">        Dim emailVal As String</t>
  </si>
  <si>
    <t xml:space="preserve">        emailVal = LCase(Trim(wsRaw.Cells(i, 3).Value))  ' Email col = 3</t>
  </si>
  <si>
    <t xml:space="preserve">        If emailVal &lt;&gt; "" Then</t>
  </si>
  <si>
    <t xml:space="preserve">            If emailDict.exists(emailVal) Then</t>
  </si>
  <si>
    <t xml:space="preserve">                wsRaw.Cells(i, 13).Value = "DUPLICATE"</t>
  </si>
  <si>
    <t xml:space="preserve">                wsRaw.Rows(i).Interior.Color = RGB(255, 200, 200)</t>
  </si>
  <si>
    <t xml:space="preserve">                dupCount = dupCount + 1</t>
  </si>
  <si>
    <t xml:space="preserve">            Else</t>
  </si>
  <si>
    <t xml:space="preserve">                emailDict.Add emailVal, i</t>
  </si>
  <si>
    <t xml:space="preserve">                wsRaw.Cells(i, 13).Value = "UNIQUE"</t>
  </si>
  <si>
    <t xml:space="preserve">            End If</t>
  </si>
  <si>
    <t xml:space="preserve">        End If</t>
  </si>
  <si>
    <t xml:space="preserve">    Next i</t>
  </si>
  <si>
    <t xml:space="preserve">    ' ── 3. STEP 2: Standardize Text Fields ──────────────────</t>
  </si>
  <si>
    <t xml:space="preserve">        If wsRaw.Cells(i, 13).Value &lt;&gt; "DUPLICATE" Then</t>
  </si>
  <si>
    <t xml:space="preserve">            ' Customer Name → Proper Case + Trim</t>
  </si>
  <si>
    <t xml:space="preserve">            Dim nameVal As String</t>
  </si>
  <si>
    <t xml:space="preserve">            nameVal = Trim(wsRaw.Cells(i, 2).Value)</t>
  </si>
  <si>
    <t xml:space="preserve">            If nameVal &lt;&gt; "" Then</t>
  </si>
  <si>
    <t xml:space="preserve">                wsRaw.Cells(i, 2).Value = StrConv(nameVal, vbProperCase)</t>
  </si>
  <si>
    <t xml:space="preserve">                fixCount = fixCount + 1</t>
  </si>
  <si>
    <t xml:space="preserve">            ' Status → Proper Case (Resolved, Open, Pending, Closed)</t>
  </si>
  <si>
    <t xml:space="preserve">            Dim statusVal As String</t>
  </si>
  <si>
    <t xml:space="preserve">            statusVal = Trim(wsRaw.Cells(i, 7).Value)</t>
  </si>
  <si>
    <t xml:space="preserve">            Select Case UCase(statusVal)</t>
  </si>
  <si>
    <t xml:space="preserve">                Case "RESOLVED", "CLOSED"</t>
  </si>
  <si>
    <t xml:space="preserve">                    wsRaw.Cells(i, 7).Value = StrConv(statusVal, vbProperCase)</t>
  </si>
  <si>
    <t xml:space="preserve">                Case "OPEN", "PENDING"</t>
  </si>
  <si>
    <t xml:space="preserve">                Case Else</t>
  </si>
  <si>
    <t xml:space="preserve">            End Select</t>
  </si>
  <si>
    <t xml:space="preserve">            ' Priority → Proper Case</t>
  </si>
  <si>
    <t xml:space="preserve">            Dim priVal As String</t>
  </si>
  <si>
    <t xml:space="preserve">            priVal = Trim(wsRaw.Cells(i, 6).Value)</t>
  </si>
  <si>
    <t xml:space="preserve">            wsRaw.Cells(i, 6).Value = StrConv(priVal, vbProperCase)</t>
  </si>
  <si>
    <t xml:space="preserve">            ' Agent Name → Proper Case</t>
  </si>
  <si>
    <t xml:space="preserve">            Dim agentVal As String</t>
  </si>
  <si>
    <t xml:space="preserve">            agentVal = Trim(wsRaw.Cells(i, 10).Value)</t>
  </si>
  <si>
    <t xml:space="preserve">            wsRaw.Cells(i, 10).Value = StrConv(agentVal, vbProperCase)</t>
  </si>
  <si>
    <t xml:space="preserve">            ' Email → Lower Case</t>
  </si>
  <si>
    <t xml:space="preserve">            wsRaw.Cells(i, 3).Value = LCase(Trim(wsRaw.Cells(i, 3).Value))</t>
  </si>
  <si>
    <t xml:space="preserve">            ' Phone → Remove spaces and dashes</t>
  </si>
  <si>
    <t xml:space="preserve">            Dim phoneVal As String</t>
  </si>
  <si>
    <t xml:space="preserve">            phoneVal = wsRaw.Cells(i, 4).Value</t>
  </si>
  <si>
    <t xml:space="preserve">            phoneVal = Replace(phoneVal, " ", "")</t>
  </si>
  <si>
    <t xml:space="preserve">            phoneVal = Replace(phoneVal, "-", "")</t>
  </si>
  <si>
    <t xml:space="preserve">            wsRaw.Cells(i, 4).Value = phoneVal</t>
  </si>
  <si>
    <t xml:space="preserve">            ' Issue Category → Proper Case</t>
  </si>
  <si>
    <t xml:space="preserve">            wsRaw.Cells(i, 5).Value = _</t>
  </si>
  <si>
    <t xml:space="preserve">                StrConv(Trim(wsRaw.Cells(i, 5).Value), vbProperCase)</t>
  </si>
  <si>
    <t xml:space="preserve">    ' ── 4. STEP 3: Standardize Date Formats ─────────────────</t>
  </si>
  <si>
    <t xml:space="preserve">            Dim dateCell As Range</t>
  </si>
  <si>
    <t xml:space="preserve">            Set dateCell = wsRaw.Cells(i, 8)  ' Created_Date</t>
  </si>
  <si>
    <t xml:space="preserve">            If dateCell.Value &lt;&gt; "" Then</t>
  </si>
  <si>
    <t xml:space="preserve">                On Error Resume Next</t>
  </si>
  <si>
    <t xml:space="preserve">                Dim parsedDate As Date</t>
  </si>
  <si>
    <t xml:space="preserve">                parsedDate = CDate(dateCell.Value)</t>
  </si>
  <si>
    <t xml:space="preserve">                If Err.Number = 0 Then</t>
  </si>
  <si>
    <t xml:space="preserve">                    dateCell.Value = Format(parsedDate, "YYYY-MM-DD")</t>
  </si>
  <si>
    <t xml:space="preserve">                    dateCell.NumberFormat = "@"</t>
  </si>
  <si>
    <t xml:space="preserve">                End If</t>
  </si>
  <si>
    <t xml:space="preserve">                On Error GoTo 0</t>
  </si>
  <si>
    <t xml:space="preserve">            ' Resolved Date</t>
  </si>
  <si>
    <t xml:space="preserve">            Dim resCell As Range</t>
  </si>
  <si>
    <t xml:space="preserve">            Set resCell = wsRaw.Cells(i, 9)</t>
  </si>
  <si>
    <t xml:space="preserve">            If resCell.Value = "" Or resCell.Value = "0" Then</t>
  </si>
  <si>
    <t xml:space="preserve">                resCell.Value = "N/A"</t>
  </si>
  <si>
    <t xml:space="preserve">                parsedDate = CDate(resCell.Value)</t>
  </si>
  <si>
    <t xml:space="preserve">                    resCell.Value = Format(parsedDate, "YYYY-MM-DD")</t>
  </si>
  <si>
    <t xml:space="preserve">                    resCell.NumberFormat = "@"</t>
  </si>
  <si>
    <t xml:space="preserve">    ' ── 5. STEP 4: Flag Missing Values ──────────────────────</t>
  </si>
  <si>
    <t xml:space="preserve">    Dim criticalCols As Variant</t>
  </si>
  <si>
    <t xml:space="preserve">    criticalCols = Array(1, 2, 3, 6, 7, 8)  ' ID, Name, Email, Priority, Status, Date</t>
  </si>
  <si>
    <t xml:space="preserve">            For Each j In criticalCols</t>
  </si>
  <si>
    <t xml:space="preserve">                If Trim(wsRaw.Cells(i, j).Value) = "" Then</t>
  </si>
  <si>
    <t xml:space="preserve">                    wsRaw.Cells(i, j).Value = "⚠ MISSING"</t>
  </si>
  <si>
    <t xml:space="preserve">                    wsRaw.Cells(i, j).Interior.Color = RGB(255, 235, 156)</t>
  </si>
  <si>
    <t xml:space="preserve">                    wsRaw.Cells(i, j).Font.Color = RGB(156, 87, 0)</t>
  </si>
  <si>
    <t xml:space="preserve">                    blankCount = blankCount + 1</t>
  </si>
  <si>
    <t xml:space="preserve">            Next j</t>
  </si>
  <si>
    <t xml:space="preserve">    ' ── 6. STEP 5: CSAT &amp; Resolution Time — blank → N/A ─────</t>
  </si>
  <si>
    <t xml:space="preserve">            If Trim(wsRaw.Cells(i, 11).Value) = "" Then</t>
  </si>
  <si>
    <t xml:space="preserve">                wsRaw.Cells(i, 11).Value = "N/A"</t>
  </si>
  <si>
    <t xml:space="preserve">            If Trim(wsRaw.Cells(i, 12).Value) = "" Or _</t>
  </si>
  <si>
    <t xml:space="preserve">               wsRaw.Cells(i, 12).Value = "0" Then</t>
  </si>
  <si>
    <t xml:space="preserve">                wsRaw.Cells(i, 12).Value = "N/A"</t>
  </si>
  <si>
    <t xml:space="preserve">    ' ── 7. Log results ───────────────────────────────────────</t>
  </si>
  <si>
    <t xml:space="preserve">    wsLog.Cells(2, 1).Value  = "Duplicate rows removed"</t>
  </si>
  <si>
    <t xml:space="preserve">    wsLog.Cells(2, 2).Value  = dupCount</t>
  </si>
  <si>
    <t xml:space="preserve">    wsLog.Cells(3, 1).Value  = "Fields standardized (Proper Case)"</t>
  </si>
  <si>
    <t xml:space="preserve">    wsLog.Cells(3, 2).Value  = fixCount</t>
  </si>
  <si>
    <t xml:space="preserve">    wsLog.Cells(4, 1).Value  = "Missing values flagged"</t>
  </si>
  <si>
    <t xml:space="preserve">    wsLog.Cells(4, 2).Value  = blankCount</t>
  </si>
  <si>
    <t xml:space="preserve">    wsLog.Cells(5, 1).Value  = "Date formats standardized"</t>
  </si>
  <si>
    <t xml:space="preserve">    wsLog.Cells(5, 2).Value  = "YYYY-MM-DD applied"</t>
  </si>
  <si>
    <t xml:space="preserve">    wsLog.Cells(6, 1).Value  = "Phone numbers cleaned"</t>
  </si>
  <si>
    <t xml:space="preserve">    wsLog.Cells(6, 2).Value  = "Spaces &amp; dashes removed"</t>
  </si>
  <si>
    <t xml:space="preserve">    wsLog.Cells(7, 1).Value  = "Run timestamp"</t>
  </si>
  <si>
    <t xml:space="preserve">    wsLog.Cells(7, 2).Value  = Now()</t>
  </si>
  <si>
    <t xml:space="preserve">    Application.ScreenUpdating = True</t>
  </si>
  <si>
    <t xml:space="preserve">    Application.Calculation   = xlCalculationAutomatic</t>
  </si>
  <si>
    <t xml:space="preserve">    MsgBox "✅ Data Cleaning Complete!" &amp; Chr(10) &amp; Chr(10) &amp; _</t>
  </si>
  <si>
    <t xml:space="preserve">           "Duplicates removed : " &amp; dupCount &amp; Chr(10) &amp; _</t>
  </si>
  <si>
    <t xml:space="preserve">           "Fields standardized: " &amp; fixCount &amp; Chr(10) &amp; _</t>
  </si>
  <si>
    <t xml:space="preserve">           "Missing flagged    : " &amp; blankCount &amp; Chr(10) &amp; Chr(10) &amp; _</t>
  </si>
  <si>
    <t xml:space="preserve">           "Check 'Clean Data (After Macro)' sheet for results.", _</t>
  </si>
  <si>
    <t xml:space="preserve">           vbInformation, "Cleaning Complete"</t>
  </si>
  <si>
    <t xml:space="preserve">End Sub</t>
  </si>
  <si>
    <t xml:space="preserve">'  HELPER MACRO — Generate Weekly Summary Report</t>
  </si>
  <si>
    <t xml:space="preserve">Sub GenerateWeeklyReport()</t>
  </si>
  <si>
    <t xml:space="preserve">    Dim wsReport As Worksheet</t>
  </si>
  <si>
    <t xml:space="preserve">    Set wsClean  = ThisWorkbook.Sheets("Clean Data (After Macro)")</t>
  </si>
  <si>
    <t xml:space="preserve">    lastRow = wsClean.Cells(wsClean.Rows.Count, 1).End(xlUp).Row</t>
  </si>
  <si>
    <t xml:space="preserve">    ' Count by Status</t>
  </si>
  <si>
    <t xml:space="preserve">    Dim resolved As Long, openT As Long, pending As Long, closed As Long</t>
  </si>
  <si>
    <t xml:space="preserve">    resolved = 0 : openT = 0 : pending = 0 : closed = 0</t>
  </si>
  <si>
    <t xml:space="preserve">    For i = 4 To lastRow</t>
  </si>
  <si>
    <t xml:space="preserve">        Select Case wsClean.Cells(i, 7).Value</t>
  </si>
  <si>
    <t xml:space="preserve">            Case "Resolved" : resolved = resolved + 1</t>
  </si>
  <si>
    <t xml:space="preserve">            Case "Open"     : openT    = openT + 1</t>
  </si>
  <si>
    <t xml:space="preserve">            Case "Pending"  : pending  = pending + 1</t>
  </si>
  <si>
    <t xml:space="preserve">            Case "Closed"   : closed   = closed + 1</t>
  </si>
  <si>
    <t xml:space="preserve">        End Select</t>
  </si>
  <si>
    <t xml:space="preserve">    MsgBox "📊 Weekly Report Summary" &amp; Chr(10) &amp; Chr(10) &amp; _</t>
  </si>
  <si>
    <t xml:space="preserve">           "Resolved : " &amp; resolved &amp; Chr(10) &amp; _</t>
  </si>
  <si>
    <t xml:space="preserve">           "Open     : " &amp; openT    &amp; Chr(10) &amp; _</t>
  </si>
  <si>
    <t xml:space="preserve">           "Pending  : " &amp; pending  &amp; Chr(10) &amp; _</t>
  </si>
  <si>
    <t xml:space="preserve">           "Closed   : " &amp; closed   &amp; Chr(10) &amp; Chr(10) &amp; _</t>
  </si>
  <si>
    <t xml:space="preserve">           "Total    : " &amp; (resolved + openT + pending + closed), _</t>
  </si>
  <si>
    <t xml:space="preserve">           vbInformation, "Weekly Report"</t>
  </si>
  <si>
    <t xml:space="preserve">Data Cleaning Log — Auto Generated by VBA Macro</t>
  </si>
  <si>
    <t xml:space="preserve">Cleaning Step</t>
  </si>
  <si>
    <t xml:space="preserve">Result / Count</t>
  </si>
  <si>
    <t xml:space="preserve">Notes</t>
  </si>
  <si>
    <t xml:space="preserve">Duplicate rows removed</t>
  </si>
  <si>
    <t xml:space="preserve">Based on matching email addresses (case-insensitive)</t>
  </si>
  <si>
    <t xml:space="preserve">Fields standardized (Proper Case)</t>
  </si>
  <si>
    <t xml:space="preserve">Name, Agent, Status, Priority, Category — StrConv(vbProperCase)</t>
  </si>
  <si>
    <t xml:space="preserve">Missing values flagged</t>
  </si>
  <si>
    <t xml:space="preserve">Ticket_ID, Name, Email, Priority, Status, Date checked</t>
  </si>
  <si>
    <t xml:space="preserve">Date formats standardized</t>
  </si>
  <si>
    <t xml:space="preserve">YYYY-MM-DD</t>
  </si>
  <si>
    <t xml:space="preserve">All date variants (DD/MM/YYYY, MM-DD-YYYY) unified</t>
  </si>
  <si>
    <t xml:space="preserve">Phone numbers cleaned</t>
  </si>
  <si>
    <t xml:space="preserve">Spaces/dashes removed</t>
  </si>
  <si>
    <t xml:space="preserve">Replace() used on Phone column</t>
  </si>
  <si>
    <t xml:space="preserve">Emails lowercased</t>
  </si>
  <si>
    <t xml:space="preserve">LCase() applied</t>
  </si>
  <si>
    <t xml:space="preserve">Ensures consistent matching &amp; no duplicates missed</t>
  </si>
  <si>
    <t xml:space="preserve">CSAT blank → N/A</t>
  </si>
  <si>
    <t xml:space="preserve">N/A assigned</t>
  </si>
  <si>
    <t xml:space="preserve">Unresolved tickets have no CSAT — flagged cleanly</t>
  </si>
  <si>
    <t xml:space="preserve">Resolution Time 0 → N/A</t>
  </si>
  <si>
    <t xml:space="preserve">Open/Pending tickets have no resolution time</t>
  </si>
  <si>
    <t xml:space="preserve">Run timestamp</t>
  </si>
  <si>
    <t xml:space="preserve">Auto-recorded when macro runs</t>
  </si>
  <si>
    <t xml:space="preserve">SQL Queries — Customer Support Data Analysis</t>
  </si>
  <si>
    <t xml:space="preserve">These queries run on the clean data table: customer_support_tickets</t>
  </si>
  <si>
    <t xml:space="preserve">Query 1: Total Tickets by Status</t>
  </si>
  <si>
    <t xml:space="preserve">📌 Purpose: Shows how many tickets are Resolved, Open, Pending, Closed — key KPI for support ops</t>
  </si>
  <si>
    <t xml:space="preserve">SELECT</t>
  </si>
  <si>
    <t xml:space="preserve">    Status,</t>
  </si>
  <si>
    <t xml:space="preserve">    COUNT(Ticket_ID)        AS Total_Tickets,</t>
  </si>
  <si>
    <t xml:space="preserve">    ROUND(COUNT(Ticket_ID) * 100.0 / </t>
  </si>
  <si>
    <t xml:space="preserve">          (SELECT COUNT(*) FROM customer_support_tickets), 1) AS Percentage</t>
  </si>
  <si>
    <t xml:space="preserve">FROM customer_support_tickets</t>
  </si>
  <si>
    <t xml:space="preserve">GROUP BY Status</t>
  </si>
  <si>
    <t xml:space="preserve">ORDER BY Total_Tickets DESC;</t>
  </si>
  <si>
    <t xml:space="preserve">Query 2: Average CSAT Score by Agent</t>
  </si>
  <si>
    <t xml:space="preserve">📌 Purpose: Agent performance ranking — who has highest customer satisfaction</t>
  </si>
  <si>
    <t xml:space="preserve">    Agent_Name,</t>
  </si>
  <si>
    <t xml:space="preserve">    COUNT(Ticket_ID)                    AS Tickets_Handled,</t>
  </si>
  <si>
    <t xml:space="preserve">    ROUND(AVG(CAST(CSAT_Score AS FLOAT)), 2) AS Avg_CSAT,</t>
  </si>
  <si>
    <t xml:space="preserve">    MIN(CSAT_Score)                     AS Min_CSAT,</t>
  </si>
  <si>
    <t xml:space="preserve">    MAX(CSAT_Score)                     AS Max_CSAT</t>
  </si>
  <si>
    <t xml:space="preserve">WHERE CSAT_Score != 'N/A'</t>
  </si>
  <si>
    <t xml:space="preserve">  AND CSAT_Score IS NOT NULL</t>
  </si>
  <si>
    <t xml:space="preserve">GROUP BY Agent_Name</t>
  </si>
  <si>
    <t xml:space="preserve">ORDER BY Avg_CSAT DESC;</t>
  </si>
  <si>
    <t xml:space="preserve">Query 3: Tickets by Issue Category &amp; Priority</t>
  </si>
  <si>
    <t xml:space="preserve">📌 Purpose: Identifies which issue types are most critical — helps prioritize resources</t>
  </si>
  <si>
    <t xml:space="preserve">    Issue_Category,</t>
  </si>
  <si>
    <t xml:space="preserve">    Priority,</t>
  </si>
  <si>
    <t xml:space="preserve">    COUNT(Ticket_ID) AS Ticket_Count</t>
  </si>
  <si>
    <t xml:space="preserve">GROUP BY Issue_Category, Priority</t>
  </si>
  <si>
    <t xml:space="preserve">ORDER BY Issue_Category, </t>
  </si>
  <si>
    <t xml:space="preserve">         CASE Priority </t>
  </si>
  <si>
    <t xml:space="preserve">             WHEN 'Critical' THEN 1</t>
  </si>
  <si>
    <t xml:space="preserve">             WHEN 'High'     THEN 2</t>
  </si>
  <si>
    <t xml:space="preserve">             WHEN 'Medium'   THEN 3</t>
  </si>
  <si>
    <t xml:space="preserve">             WHEN 'Low'      THEN 4</t>
  </si>
  <si>
    <t xml:space="preserve">         END;</t>
  </si>
  <si>
    <t xml:space="preserve">Query 4: Average Resolution Time by Category</t>
  </si>
  <si>
    <t xml:space="preserve">📌 Purpose: Which issue category takes longest to resolve — SLA tracking</t>
  </si>
  <si>
    <t xml:space="preserve">    COUNT(Ticket_ID)                            AS Total_Tickets,</t>
  </si>
  <si>
    <t xml:space="preserve">    ROUND(AVG(CAST(Resolution_Time_Hrs AS FLOAT)), 1) AS Avg_Resolution_Hrs,</t>
  </si>
  <si>
    <t xml:space="preserve">    MAX(CAST(Resolution_Time_Hrs AS FLOAT))     AS Max_Resolution_Hrs,</t>
  </si>
  <si>
    <t xml:space="preserve">    MIN(CAST(Resolution_Time_Hrs AS FLOAT))     AS Min_Resolution_Hrs</t>
  </si>
  <si>
    <t xml:space="preserve">WHERE Resolution_Time_Hrs != 'N/A'</t>
  </si>
  <si>
    <t xml:space="preserve">GROUP BY Issue_Category</t>
  </si>
  <si>
    <t xml:space="preserve">ORDER BY Avg_Resolution_Hrs DESC;</t>
  </si>
  <si>
    <t xml:space="preserve">Query 5: Unresolved High Priority Tickets</t>
  </si>
  <si>
    <t xml:space="preserve">📌 Purpose: Escalation report — Critical/High tickets still unresolved, oldest first</t>
  </si>
  <si>
    <t xml:space="preserve">    Ticket_ID,</t>
  </si>
  <si>
    <t xml:space="preserve">    Customer_Name,</t>
  </si>
  <si>
    <t xml:space="preserve">    Created_Date,</t>
  </si>
  <si>
    <t xml:space="preserve">    Agent_Name</t>
  </si>
  <si>
    <t xml:space="preserve">WHERE Priority IN ('High', 'Critical')</t>
  </si>
  <si>
    <t xml:space="preserve">  AND Status IN ('Open', 'Pending')</t>
  </si>
  <si>
    <t xml:space="preserve">ORDER BY </t>
  </si>
  <si>
    <t xml:space="preserve">    CASE Priority WHEN 'Critical' THEN 1 ELSE 2 END,</t>
  </si>
  <si>
    <t xml:space="preserve">    Created_Date ASC;</t>
  </si>
  <si>
    <t xml:space="preserve">Query 6: Weekly Ticket Volume Trend</t>
  </si>
  <si>
    <t xml:space="preserve">📌 Purpose: Month-wise volume trend — useful for capacity planning and reporting</t>
  </si>
  <si>
    <t xml:space="preserve">    SUBSTR(Created_Date, 1, 7)  AS Month,</t>
  </si>
  <si>
    <t xml:space="preserve">    COUNT(Ticket_ID)            AS Tickets_Created,</t>
  </si>
  <si>
    <t xml:space="preserve">    SUM(CASE WHEN Status = 'Resolved' THEN 1 ELSE 0 END) AS Resolved,</t>
  </si>
  <si>
    <t xml:space="preserve">    SUM(CASE WHEN Status = 'Open'     THEN 1 ELSE 0 END) AS Still_Open</t>
  </si>
  <si>
    <t xml:space="preserve">GROUP BY SUBSTR(Created_Date, 1, 7)</t>
  </si>
  <si>
    <t xml:space="preserve">ORDER BY Month ASC;</t>
  </si>
  <si>
    <t xml:space="preserve">Query 7: Duplicate Detection Query</t>
  </si>
  <si>
    <t xml:space="preserve">📌 Purpose: Finds duplicate customer entries — same as what VBA Macro does in Excel</t>
  </si>
  <si>
    <t xml:space="preserve">    Email,</t>
  </si>
  <si>
    <t xml:space="preserve">    COUNT(*) AS Occurrences,</t>
  </si>
  <si>
    <t xml:space="preserve">    GROUP_CONCAT(Ticket_ID, ', ') AS Ticket_IDs</t>
  </si>
  <si>
    <t xml:space="preserve">GROUP BY LOWER(TRIM(Email))</t>
  </si>
  <si>
    <t xml:space="preserve">HAVING COUNT(*) &gt; 1</t>
  </si>
  <si>
    <t xml:space="preserve">ORDER BY Occurrences DESC;</t>
  </si>
  <si>
    <t xml:space="preserve">Customer Support — Weekly Summary Report</t>
  </si>
  <si>
    <t xml:space="preserve">Auto-generated from Clean Data | Period: Jan 2024 | Muhammad Imran</t>
  </si>
  <si>
    <t xml:space="preserve">Total Tickets</t>
  </si>
  <si>
    <t xml:space="preserve">Open/Pending</t>
  </si>
  <si>
    <t xml:space="preserve">Avg CSAT</t>
  </si>
  <si>
    <t xml:space="preserve">Tickets by Status</t>
  </si>
  <si>
    <t xml:space="preserve">Tickets by Category</t>
  </si>
  <si>
    <t xml:space="preserve">Count</t>
  </si>
  <si>
    <t xml:space="preserve">% of Total</t>
  </si>
  <si>
    <t xml:space="preserve">Category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</si>
</sst>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0.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27622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C55A11"/>
      <name val="Arial"/>
      <family val="0"/>
      <charset val="1"/>
    </font>
    <font>
      <sz val="9"/>
      <color rgb="FF1A1A2E"/>
      <name val="Courier New"/>
      <family val="0"/>
      <charset val="1"/>
    </font>
    <font>
      <b val="true"/>
      <sz val="9"/>
      <color rgb="FFC55A11"/>
      <name val="Courier New"/>
      <family val="0"/>
      <charset val="1"/>
    </font>
    <font>
      <sz val="9"/>
      <color rgb="FF5D6D7E"/>
      <name val="Courier New"/>
      <family val="0"/>
      <charset val="1"/>
    </font>
    <font>
      <b val="true"/>
      <sz val="9"/>
      <color rgb="FF1F3864"/>
      <name val="Courier New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20"/>
      <color rgb="FF276221"/>
      <name val="Arial"/>
      <family val="0"/>
      <charset val="1"/>
    </font>
    <font>
      <b val="true"/>
      <sz val="20"/>
      <color rgb="FFC00000"/>
      <name val="Arial"/>
      <family val="0"/>
      <charset val="1"/>
    </font>
    <font>
      <b val="true"/>
      <sz val="20"/>
      <color rgb="FFC55A11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FADBD8"/>
        <bgColor rgb="FFFCE4D6"/>
      </patternFill>
    </fill>
    <fill>
      <patternFill patternType="solid">
        <fgColor rgb="FF595959"/>
        <bgColor rgb="FF5D6D7E"/>
      </patternFill>
    </fill>
    <fill>
      <patternFill patternType="solid">
        <fgColor rgb="FFFCE4EC"/>
        <bgColor rgb="FFFBE9E7"/>
      </patternFill>
    </fill>
    <fill>
      <patternFill patternType="solid">
        <fgColor rgb="FFE3F2FD"/>
        <bgColor rgb="FFEBF2FA"/>
      </patternFill>
    </fill>
    <fill>
      <patternFill patternType="solid">
        <fgColor rgb="FFEDE7F6"/>
        <bgColor rgb="FFEBF2FA"/>
      </patternFill>
    </fill>
    <fill>
      <patternFill patternType="solid">
        <fgColor rgb="FFE8F5E9"/>
        <bgColor rgb="FFEAF3DE"/>
      </patternFill>
    </fill>
    <fill>
      <patternFill patternType="solid">
        <fgColor rgb="FFFFF9C4"/>
        <bgColor rgb="FFFFF2CC"/>
      </patternFill>
    </fill>
    <fill>
      <patternFill patternType="solid">
        <fgColor rgb="FFFBE9E7"/>
        <bgColor rgb="FFFCE4EC"/>
      </patternFill>
    </fill>
    <fill>
      <patternFill patternType="solid">
        <fgColor rgb="FFD5F5E3"/>
        <bgColor rgb="FFE8F5E9"/>
      </patternFill>
    </fill>
    <fill>
      <patternFill patternType="solid">
        <fgColor rgb="FF1F3864"/>
        <bgColor rgb="FF333399"/>
      </patternFill>
    </fill>
    <fill>
      <patternFill patternType="solid">
        <fgColor rgb="FFF2F2F2"/>
        <bgColor rgb="FFF4F6F7"/>
      </patternFill>
    </fill>
    <fill>
      <patternFill patternType="solid">
        <fgColor rgb="FFFCE4D6"/>
        <bgColor rgb="FFFBE9E7"/>
      </patternFill>
    </fill>
    <fill>
      <patternFill patternType="solid">
        <fgColor rgb="FFEAF3DE"/>
        <bgColor rgb="FFE8F5E9"/>
      </patternFill>
    </fill>
    <fill>
      <patternFill patternType="solid">
        <fgColor rgb="FFEBF2FA"/>
        <bgColor rgb="FFE3F2FD"/>
      </patternFill>
    </fill>
    <fill>
      <patternFill patternType="solid">
        <fgColor rgb="FFF8F9FA"/>
        <bgColor rgb="FFF4F6F7"/>
      </patternFill>
    </fill>
    <fill>
      <patternFill patternType="solid">
        <fgColor rgb="FFFFFFFF"/>
        <bgColor rgb="FFF8F9FA"/>
      </patternFill>
    </fill>
    <fill>
      <patternFill patternType="solid">
        <fgColor rgb="FFC55A11"/>
        <bgColor rgb="FF993300"/>
      </patternFill>
    </fill>
    <fill>
      <patternFill patternType="solid">
        <fgColor rgb="FFFFF2CC"/>
        <bgColor rgb="FFFFF9C4"/>
      </patternFill>
    </fill>
    <fill>
      <patternFill patternType="solid">
        <fgColor rgb="FFF4F6F7"/>
        <bgColor rgb="FFF8F9FA"/>
      </patternFill>
    </fill>
    <fill>
      <patternFill patternType="solid">
        <fgColor rgb="FF276221"/>
        <bgColor rgb="FF595959"/>
      </patternFill>
    </fill>
    <fill>
      <patternFill patternType="solid">
        <fgColor rgb="FFC0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EAF3DE"/>
      <rgbColor rgb="FFFF00FF"/>
      <rgbColor rgb="FF00FFFF"/>
      <rgbColor rgb="FF800000"/>
      <rgbColor rgb="FF276221"/>
      <rgbColor rgb="FF000080"/>
      <rgbColor rgb="FF808000"/>
      <rgbColor rgb="FF800080"/>
      <rgbColor rgb="FF008080"/>
      <rgbColor rgb="FFCCCCCC"/>
      <rgbColor rgb="FF595959"/>
      <rgbColor rgb="FFF2F2F2"/>
      <rgbColor rgb="FF993366"/>
      <rgbColor rgb="FFFFF9C4"/>
      <rgbColor rgb="FFE3F2FD"/>
      <rgbColor rgb="FF660066"/>
      <rgbColor rgb="FFFF8080"/>
      <rgbColor rgb="FF0066CC"/>
      <rgbColor rgb="FFEDE7F6"/>
      <rgbColor rgb="FF000080"/>
      <rgbColor rgb="FFFF00FF"/>
      <rgbColor rgb="FFFBE9E7"/>
      <rgbColor rgb="FF00FFFF"/>
      <rgbColor rgb="FF800080"/>
      <rgbColor rgb="FF800000"/>
      <rgbColor rgb="FF008080"/>
      <rgbColor rgb="FF0000FF"/>
      <rgbColor rgb="FF00CCFF"/>
      <rgbColor rgb="FFE8F5E9"/>
      <rgbColor rgb="FFD5F5E3"/>
      <rgbColor rgb="FFFFF2CC"/>
      <rgbColor rgb="FFEBF2FA"/>
      <rgbColor rgb="FFFCE4D6"/>
      <rgbColor rgb="FFFCE4EC"/>
      <rgbColor rgb="FFFADBD8"/>
      <rgbColor rgb="FF3366FF"/>
      <rgbColor rgb="FF33CCCC"/>
      <rgbColor rgb="FF99CC00"/>
      <rgbColor rgb="FFF4F6F7"/>
      <rgbColor rgb="FFFF9900"/>
      <rgbColor rgb="FFC55A11"/>
      <rgbColor rgb="FF5D6D7E"/>
      <rgbColor rgb="FFF8F9FA"/>
      <rgbColor rgb="FF1F3864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4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18" hidden="false" customHeight="true" outlineLevel="0" collapsed="false">
      <c r="A3" s="3" t="s">
        <v>13</v>
      </c>
      <c r="B3" s="4" t="s">
        <v>14</v>
      </c>
      <c r="C3" s="4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4" t="s">
        <v>22</v>
      </c>
      <c r="K3" s="3" t="n">
        <v>4.5</v>
      </c>
      <c r="L3" s="3" t="n">
        <v>12</v>
      </c>
    </row>
    <row r="4" customFormat="false" ht="18" hidden="false" customHeight="true" outlineLevel="0" collapsed="false">
      <c r="A4" s="3" t="s">
        <v>23</v>
      </c>
      <c r="B4" s="4" t="s">
        <v>24</v>
      </c>
      <c r="C4" s="4" t="s">
        <v>15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4" t="s">
        <v>31</v>
      </c>
      <c r="K4" s="3"/>
      <c r="L4" s="3"/>
    </row>
    <row r="5" customFormat="false" ht="18" hidden="false" customHeight="true" outlineLevel="0" collapsed="false">
      <c r="A5" s="5" t="s">
        <v>32</v>
      </c>
      <c r="B5" s="6" t="s">
        <v>33</v>
      </c>
      <c r="C5" s="6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  <c r="I5" s="5"/>
      <c r="J5" s="6" t="s">
        <v>40</v>
      </c>
      <c r="K5" s="5" t="n">
        <v>3</v>
      </c>
      <c r="L5" s="5" t="n">
        <v>0</v>
      </c>
    </row>
    <row r="6" customFormat="false" ht="18" hidden="false" customHeight="true" outlineLevel="0" collapsed="false">
      <c r="A6" s="5" t="s">
        <v>41</v>
      </c>
      <c r="B6" s="6" t="s">
        <v>42</v>
      </c>
      <c r="C6" s="6" t="s">
        <v>43</v>
      </c>
      <c r="D6" s="5" t="s">
        <v>44</v>
      </c>
      <c r="E6" s="5" t="s">
        <v>36</v>
      </c>
      <c r="F6" s="5" t="s">
        <v>45</v>
      </c>
      <c r="G6" s="5" t="s">
        <v>46</v>
      </c>
      <c r="H6" s="5" t="s">
        <v>47</v>
      </c>
      <c r="I6" s="5"/>
      <c r="J6" s="6" t="s">
        <v>48</v>
      </c>
      <c r="K6" s="5"/>
      <c r="L6" s="5"/>
    </row>
    <row r="7" customFormat="false" ht="18" hidden="false" customHeight="true" outlineLevel="0" collapsed="false">
      <c r="A7" s="7" t="s">
        <v>49</v>
      </c>
      <c r="B7" s="8" t="s">
        <v>50</v>
      </c>
      <c r="C7" s="8" t="s">
        <v>51</v>
      </c>
      <c r="D7" s="7" t="s">
        <v>52</v>
      </c>
      <c r="E7" s="7" t="s">
        <v>53</v>
      </c>
      <c r="F7" s="7" t="s">
        <v>54</v>
      </c>
      <c r="G7" s="7" t="s">
        <v>55</v>
      </c>
      <c r="H7" s="7" t="s">
        <v>56</v>
      </c>
      <c r="I7" s="7" t="s">
        <v>57</v>
      </c>
      <c r="J7" s="8" t="s">
        <v>58</v>
      </c>
      <c r="K7" s="7" t="n">
        <v>5</v>
      </c>
      <c r="L7" s="7" t="n">
        <v>48</v>
      </c>
    </row>
    <row r="8" customFormat="false" ht="18" hidden="false" customHeight="true" outlineLevel="0" collapsed="false">
      <c r="A8" s="9" t="s">
        <v>59</v>
      </c>
      <c r="B8" s="10" t="s">
        <v>60</v>
      </c>
      <c r="C8" s="10" t="s">
        <v>61</v>
      </c>
      <c r="D8" s="9" t="s">
        <v>62</v>
      </c>
      <c r="E8" s="9" t="s">
        <v>63</v>
      </c>
      <c r="F8" s="9" t="s">
        <v>64</v>
      </c>
      <c r="G8" s="9" t="s">
        <v>65</v>
      </c>
      <c r="H8" s="9" t="s">
        <v>66</v>
      </c>
      <c r="I8" s="9"/>
      <c r="J8" s="10" t="s">
        <v>67</v>
      </c>
      <c r="K8" s="9"/>
      <c r="L8" s="9" t="s">
        <v>68</v>
      </c>
    </row>
    <row r="9" customFormat="false" ht="18" hidden="false" customHeight="true" outlineLevel="0" collapsed="false">
      <c r="A9" s="11" t="s">
        <v>69</v>
      </c>
      <c r="B9" s="12" t="s">
        <v>70</v>
      </c>
      <c r="C9" s="12" t="s">
        <v>71</v>
      </c>
      <c r="D9" s="11" t="s">
        <v>72</v>
      </c>
      <c r="E9" s="11" t="s">
        <v>73</v>
      </c>
      <c r="F9" s="11" t="s">
        <v>18</v>
      </c>
      <c r="G9" s="11" t="s">
        <v>19</v>
      </c>
      <c r="H9" s="11" t="s">
        <v>57</v>
      </c>
      <c r="I9" s="11" t="s">
        <v>74</v>
      </c>
      <c r="J9" s="12" t="s">
        <v>75</v>
      </c>
      <c r="K9" s="11" t="n">
        <v>4</v>
      </c>
      <c r="L9" s="11" t="n">
        <v>24</v>
      </c>
    </row>
    <row r="10" customFormat="false" ht="18" hidden="false" customHeight="true" outlineLevel="0" collapsed="false">
      <c r="A10" s="11" t="s">
        <v>76</v>
      </c>
      <c r="B10" s="12" t="s">
        <v>77</v>
      </c>
      <c r="C10" s="12" t="s">
        <v>71</v>
      </c>
      <c r="D10" s="11" t="s">
        <v>78</v>
      </c>
      <c r="E10" s="11" t="s">
        <v>79</v>
      </c>
      <c r="F10" s="11" t="s">
        <v>80</v>
      </c>
      <c r="G10" s="11" t="s">
        <v>81</v>
      </c>
      <c r="H10" s="11" t="s">
        <v>82</v>
      </c>
      <c r="I10" s="11" t="s">
        <v>83</v>
      </c>
      <c r="J10" s="12" t="s">
        <v>84</v>
      </c>
      <c r="K10" s="11" t="s">
        <v>85</v>
      </c>
      <c r="L10" s="11"/>
    </row>
    <row r="11" customFormat="false" ht="18" hidden="false" customHeight="true" outlineLevel="0" collapsed="false">
      <c r="A11" s="13" t="s">
        <v>86</v>
      </c>
      <c r="B11" s="14" t="s">
        <v>87</v>
      </c>
      <c r="C11" s="14" t="s">
        <v>88</v>
      </c>
      <c r="D11" s="13" t="s">
        <v>89</v>
      </c>
      <c r="E11" s="13" t="s">
        <v>90</v>
      </c>
      <c r="F11" s="13" t="s">
        <v>37</v>
      </c>
      <c r="G11" s="13" t="s">
        <v>38</v>
      </c>
      <c r="H11" s="13" t="s">
        <v>74</v>
      </c>
      <c r="I11" s="13"/>
      <c r="J11" s="14" t="s">
        <v>22</v>
      </c>
      <c r="K11" s="13" t="n">
        <v>2.5</v>
      </c>
      <c r="L11" s="13" t="n">
        <v>0</v>
      </c>
    </row>
    <row r="12" customFormat="false" ht="18" hidden="false" customHeight="true" outlineLevel="0" collapsed="false">
      <c r="A12" s="13" t="s">
        <v>91</v>
      </c>
      <c r="B12" s="14" t="s">
        <v>92</v>
      </c>
      <c r="C12" s="14" t="s">
        <v>93</v>
      </c>
      <c r="D12" s="13" t="s">
        <v>94</v>
      </c>
      <c r="E12" s="13" t="s">
        <v>90</v>
      </c>
      <c r="F12" s="13" t="s">
        <v>54</v>
      </c>
      <c r="G12" s="13" t="s">
        <v>19</v>
      </c>
      <c r="H12" s="13" t="s">
        <v>95</v>
      </c>
      <c r="I12" s="13" t="s">
        <v>96</v>
      </c>
      <c r="J12" s="14" t="s">
        <v>40</v>
      </c>
      <c r="K12" s="13" t="n">
        <v>3.5</v>
      </c>
      <c r="L12" s="13" t="n">
        <v>72</v>
      </c>
    </row>
    <row r="13" customFormat="false" ht="18" hidden="false" customHeight="true" outlineLevel="0" collapsed="false">
      <c r="A13" s="13" t="s">
        <v>97</v>
      </c>
      <c r="B13" s="14" t="s">
        <v>98</v>
      </c>
      <c r="C13" s="14" t="s">
        <v>99</v>
      </c>
      <c r="D13" s="13" t="s">
        <v>100</v>
      </c>
      <c r="E13" s="13" t="s">
        <v>101</v>
      </c>
      <c r="F13" s="13" t="s">
        <v>102</v>
      </c>
      <c r="G13" s="13" t="s">
        <v>28</v>
      </c>
      <c r="H13" s="13" t="s">
        <v>103</v>
      </c>
      <c r="I13" s="13" t="s">
        <v>104</v>
      </c>
      <c r="J13" s="14" t="s">
        <v>48</v>
      </c>
      <c r="K13" s="13"/>
      <c r="L13" s="13"/>
    </row>
    <row r="14" customFormat="false" ht="18" hidden="false" customHeight="true" outlineLevel="0" collapsed="false">
      <c r="A14" s="3" t="s">
        <v>105</v>
      </c>
      <c r="B14" s="4" t="s">
        <v>106</v>
      </c>
      <c r="C14" s="4" t="s">
        <v>107</v>
      </c>
      <c r="D14" s="3" t="s">
        <v>108</v>
      </c>
      <c r="E14" s="3" t="s">
        <v>17</v>
      </c>
      <c r="F14" s="3" t="s">
        <v>18</v>
      </c>
      <c r="G14" s="3" t="s">
        <v>65</v>
      </c>
      <c r="H14" s="3" t="s">
        <v>109</v>
      </c>
      <c r="I14" s="3"/>
      <c r="J14" s="4" t="s">
        <v>58</v>
      </c>
      <c r="K14" s="3"/>
      <c r="L14" s="3"/>
    </row>
    <row r="15" customFormat="false" ht="18" hidden="false" customHeight="true" outlineLevel="0" collapsed="false">
      <c r="A15" s="5" t="s">
        <v>110</v>
      </c>
      <c r="B15" s="6" t="s">
        <v>111</v>
      </c>
      <c r="C15" s="6" t="s">
        <v>112</v>
      </c>
      <c r="D15" s="5" t="s">
        <v>113</v>
      </c>
      <c r="E15" s="5" t="s">
        <v>36</v>
      </c>
      <c r="F15" s="5" t="s">
        <v>37</v>
      </c>
      <c r="G15" s="5" t="s">
        <v>19</v>
      </c>
      <c r="H15" s="5" t="s">
        <v>114</v>
      </c>
      <c r="I15" s="5" t="s">
        <v>115</v>
      </c>
      <c r="J15" s="6" t="s">
        <v>67</v>
      </c>
      <c r="K15" s="5" t="n">
        <v>4.8</v>
      </c>
      <c r="L15" s="5" t="n">
        <v>32</v>
      </c>
    </row>
    <row r="16" customFormat="false" ht="18" hidden="false" customHeight="true" outlineLevel="0" collapsed="false">
      <c r="A16" s="3" t="s">
        <v>116</v>
      </c>
      <c r="B16" s="4"/>
      <c r="C16" s="4" t="s">
        <v>15</v>
      </c>
      <c r="D16" s="3" t="s">
        <v>16</v>
      </c>
      <c r="E16" s="3" t="s">
        <v>17</v>
      </c>
      <c r="F16" s="3"/>
      <c r="G16" s="3"/>
      <c r="H16" s="3" t="s">
        <v>96</v>
      </c>
      <c r="I16" s="3"/>
      <c r="J16" s="4"/>
      <c r="K16" s="3"/>
      <c r="L16" s="3"/>
    </row>
    <row r="17" customFormat="false" ht="18" hidden="false" customHeight="true" outlineLevel="0" collapsed="false">
      <c r="A17" s="7" t="s">
        <v>117</v>
      </c>
      <c r="B17" s="8" t="s">
        <v>14</v>
      </c>
      <c r="C17" s="8" t="s">
        <v>15</v>
      </c>
      <c r="D17" s="7" t="s">
        <v>118</v>
      </c>
      <c r="E17" s="7" t="s">
        <v>53</v>
      </c>
      <c r="F17" s="7" t="s">
        <v>37</v>
      </c>
      <c r="G17" s="7" t="s">
        <v>38</v>
      </c>
      <c r="H17" s="7" t="s">
        <v>115</v>
      </c>
      <c r="I17" s="7"/>
      <c r="J17" s="8" t="s">
        <v>75</v>
      </c>
      <c r="K17" s="7"/>
      <c r="L17" s="7" t="s">
        <v>68</v>
      </c>
    </row>
    <row r="18" customFormat="false" ht="18" hidden="false" customHeight="true" outlineLevel="0" collapsed="false">
      <c r="A18" s="9" t="s">
        <v>119</v>
      </c>
      <c r="B18" s="10" t="s">
        <v>120</v>
      </c>
      <c r="C18" s="10" t="s">
        <v>121</v>
      </c>
      <c r="D18" s="9" t="s">
        <v>122</v>
      </c>
      <c r="E18" s="9" t="s">
        <v>63</v>
      </c>
      <c r="F18" s="9" t="s">
        <v>18</v>
      </c>
      <c r="G18" s="9" t="s">
        <v>19</v>
      </c>
      <c r="H18" s="9" t="s">
        <v>123</v>
      </c>
      <c r="I18" s="9" t="s">
        <v>124</v>
      </c>
      <c r="J18" s="10" t="s">
        <v>22</v>
      </c>
      <c r="K18" s="9" t="n">
        <v>4.2</v>
      </c>
      <c r="L18" s="9" t="n">
        <v>18</v>
      </c>
    </row>
    <row r="19" customFormat="false" ht="18" hidden="false" customHeight="true" outlineLevel="0" collapsed="false">
      <c r="A19" s="11" t="s">
        <v>125</v>
      </c>
      <c r="B19" s="12" t="s">
        <v>126</v>
      </c>
      <c r="C19" s="12" t="s">
        <v>127</v>
      </c>
      <c r="D19" s="11" t="s">
        <v>128</v>
      </c>
      <c r="E19" s="11" t="s">
        <v>73</v>
      </c>
      <c r="F19" s="11" t="s">
        <v>54</v>
      </c>
      <c r="G19" s="11" t="s">
        <v>55</v>
      </c>
      <c r="H19" s="11" t="s">
        <v>124</v>
      </c>
      <c r="I19" s="11" t="s">
        <v>129</v>
      </c>
      <c r="J19" s="12" t="s">
        <v>40</v>
      </c>
      <c r="K19" s="11" t="n">
        <v>3.8</v>
      </c>
      <c r="L19" s="11" t="n">
        <v>40</v>
      </c>
    </row>
    <row r="20" customFormat="false" ht="18" hidden="false" customHeight="true" outlineLevel="0" collapsed="false">
      <c r="A20" s="11" t="s">
        <v>130</v>
      </c>
      <c r="B20" s="12" t="s">
        <v>131</v>
      </c>
      <c r="C20" s="12" t="s">
        <v>127</v>
      </c>
      <c r="D20" s="11" t="s">
        <v>132</v>
      </c>
      <c r="E20" s="11" t="s">
        <v>79</v>
      </c>
      <c r="F20" s="11" t="s">
        <v>102</v>
      </c>
      <c r="G20" s="11" t="s">
        <v>133</v>
      </c>
      <c r="H20" s="11" t="s">
        <v>134</v>
      </c>
      <c r="I20" s="11" t="s">
        <v>135</v>
      </c>
      <c r="J20" s="12" t="s">
        <v>136</v>
      </c>
      <c r="K20" s="11"/>
      <c r="L20" s="11"/>
    </row>
    <row r="21" customFormat="false" ht="18" hidden="false" customHeight="true" outlineLevel="0" collapsed="false">
      <c r="A21" s="13" t="s">
        <v>137</v>
      </c>
      <c r="B21" s="14" t="s">
        <v>138</v>
      </c>
      <c r="C21" s="14" t="s">
        <v>139</v>
      </c>
      <c r="D21" s="13" t="s">
        <v>140</v>
      </c>
      <c r="E21" s="13" t="s">
        <v>90</v>
      </c>
      <c r="F21" s="13" t="s">
        <v>64</v>
      </c>
      <c r="G21" s="13" t="s">
        <v>38</v>
      </c>
      <c r="H21" s="13" t="s">
        <v>141</v>
      </c>
      <c r="I21" s="13"/>
      <c r="J21" s="14" t="s">
        <v>58</v>
      </c>
      <c r="K21" s="13"/>
      <c r="L21" s="13" t="s">
        <v>68</v>
      </c>
    </row>
    <row r="22" customFormat="false" ht="18" hidden="false" customHeight="true" outlineLevel="0" collapsed="false">
      <c r="A22" s="3" t="s">
        <v>142</v>
      </c>
      <c r="B22" s="4" t="s">
        <v>143</v>
      </c>
      <c r="C22" s="4" t="s">
        <v>144</v>
      </c>
      <c r="D22" s="3" t="s">
        <v>145</v>
      </c>
      <c r="E22" s="3" t="s">
        <v>17</v>
      </c>
      <c r="F22" s="3" t="s">
        <v>37</v>
      </c>
      <c r="G22" s="3" t="s">
        <v>19</v>
      </c>
      <c r="H22" s="3" t="s">
        <v>129</v>
      </c>
      <c r="I22" s="3" t="s">
        <v>146</v>
      </c>
      <c r="J22" s="4" t="s">
        <v>67</v>
      </c>
      <c r="K22" s="3" t="n">
        <v>4.1</v>
      </c>
      <c r="L22" s="3" t="n">
        <v>28</v>
      </c>
    </row>
    <row r="23" customFormat="false" ht="18" hidden="false" customHeight="true" outlineLevel="0" collapsed="false">
      <c r="A23" s="3"/>
      <c r="B23" s="4" t="s">
        <v>143</v>
      </c>
      <c r="C23" s="4" t="s">
        <v>144</v>
      </c>
      <c r="D23" s="3" t="s">
        <v>145</v>
      </c>
      <c r="E23" s="3" t="s">
        <v>17</v>
      </c>
      <c r="F23" s="3" t="s">
        <v>37</v>
      </c>
      <c r="G23" s="3" t="s">
        <v>19</v>
      </c>
      <c r="H23" s="3" t="s">
        <v>129</v>
      </c>
      <c r="I23" s="3"/>
      <c r="J23" s="4"/>
      <c r="K23" s="3"/>
      <c r="L23" s="3"/>
    </row>
    <row r="24" customFormat="false" ht="18" hidden="false" customHeight="true" outlineLevel="0" collapsed="false">
      <c r="A24" s="5" t="s">
        <v>147</v>
      </c>
      <c r="B24" s="6" t="s">
        <v>148</v>
      </c>
      <c r="C24" s="6" t="s">
        <v>149</v>
      </c>
      <c r="D24" s="5" t="s">
        <v>150</v>
      </c>
      <c r="E24" s="5" t="s">
        <v>36</v>
      </c>
      <c r="F24" s="5" t="s">
        <v>18</v>
      </c>
      <c r="G24" s="5" t="s">
        <v>65</v>
      </c>
      <c r="H24" s="5" t="s">
        <v>151</v>
      </c>
      <c r="I24" s="5"/>
      <c r="J24" s="6" t="s">
        <v>75</v>
      </c>
      <c r="K24" s="5"/>
      <c r="L24" s="5"/>
    </row>
    <row r="25" customFormat="false" ht="18" hidden="false" customHeight="true" outlineLevel="0" collapsed="false">
      <c r="A25" s="7" t="s">
        <v>152</v>
      </c>
      <c r="B25" s="8" t="s">
        <v>153</v>
      </c>
      <c r="C25" s="8" t="s">
        <v>154</v>
      </c>
      <c r="D25" s="7" t="s">
        <v>155</v>
      </c>
      <c r="E25" s="7" t="s">
        <v>53</v>
      </c>
      <c r="F25" s="7" t="s">
        <v>54</v>
      </c>
      <c r="G25" s="7" t="s">
        <v>19</v>
      </c>
      <c r="H25" s="7" t="s">
        <v>146</v>
      </c>
      <c r="I25" s="7" t="s">
        <v>156</v>
      </c>
      <c r="J25" s="8" t="s">
        <v>22</v>
      </c>
      <c r="K25" s="7" t="n">
        <v>5</v>
      </c>
      <c r="L25" s="7" t="n">
        <v>36</v>
      </c>
    </row>
    <row r="26" customFormat="false" ht="18" hidden="false" customHeight="true" outlineLevel="0" collapsed="false">
      <c r="A26" s="7" t="s">
        <v>157</v>
      </c>
      <c r="B26" s="8" t="s">
        <v>158</v>
      </c>
      <c r="C26" s="8" t="s">
        <v>154</v>
      </c>
      <c r="D26" s="7" t="s">
        <v>159</v>
      </c>
      <c r="E26" s="7" t="s">
        <v>160</v>
      </c>
      <c r="F26" s="7" t="s">
        <v>161</v>
      </c>
      <c r="G26" s="7" t="s">
        <v>28</v>
      </c>
      <c r="H26" s="7" t="s">
        <v>162</v>
      </c>
      <c r="I26" s="7" t="s">
        <v>163</v>
      </c>
      <c r="J26" s="8" t="s">
        <v>31</v>
      </c>
      <c r="K26" s="7"/>
      <c r="L26" s="7"/>
    </row>
    <row r="27" customFormat="false" ht="18" hidden="false" customHeight="true" outlineLevel="0" collapsed="false">
      <c r="A27" s="9" t="s">
        <v>164</v>
      </c>
      <c r="B27" s="10" t="s">
        <v>165</v>
      </c>
      <c r="C27" s="10" t="s">
        <v>166</v>
      </c>
      <c r="D27" s="9" t="s">
        <v>167</v>
      </c>
      <c r="E27" s="9" t="s">
        <v>63</v>
      </c>
      <c r="F27" s="9" t="s">
        <v>37</v>
      </c>
      <c r="G27" s="9" t="s">
        <v>55</v>
      </c>
      <c r="H27" s="9" t="s">
        <v>168</v>
      </c>
      <c r="I27" s="9" t="s">
        <v>169</v>
      </c>
      <c r="J27" s="10" t="s">
        <v>40</v>
      </c>
      <c r="K27" s="9" t="n">
        <v>3.2</v>
      </c>
      <c r="L27" s="9" t="n">
        <v>44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8"/>
  </cols>
  <sheetData>
    <row r="1" customFormat="false" ht="27.75" hidden="false" customHeight="true" outlineLevel="0" collapsed="false">
      <c r="A1" s="15" t="s">
        <v>170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customFormat="false" ht="18" hidden="false" customHeight="true" outlineLevel="0" collapsed="false">
      <c r="A2" s="16" t="s">
        <v>171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customFormat="false" ht="24" hidden="false" customHeight="true" outlineLevel="0" collapsed="false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11</v>
      </c>
      <c r="L3" s="17" t="s">
        <v>12</v>
      </c>
    </row>
    <row r="4" customFormat="false" ht="18" hidden="false" customHeight="true" outlineLevel="0" collapsed="false">
      <c r="A4" s="18" t="s">
        <v>13</v>
      </c>
      <c r="B4" s="19" t="s">
        <v>14</v>
      </c>
      <c r="C4" s="19" t="s">
        <v>15</v>
      </c>
      <c r="D4" s="18" t="s">
        <v>16</v>
      </c>
      <c r="E4" s="18" t="s">
        <v>17</v>
      </c>
      <c r="F4" s="20" t="s">
        <v>18</v>
      </c>
      <c r="G4" s="21" t="s">
        <v>19</v>
      </c>
      <c r="H4" s="18" t="s">
        <v>20</v>
      </c>
      <c r="I4" s="18" t="s">
        <v>21</v>
      </c>
      <c r="J4" s="19" t="s">
        <v>22</v>
      </c>
      <c r="K4" s="18" t="n">
        <v>4.5</v>
      </c>
      <c r="L4" s="18" t="n">
        <v>12</v>
      </c>
    </row>
    <row r="5" customFormat="false" ht="18" hidden="false" customHeight="true" outlineLevel="0" collapsed="false">
      <c r="A5" s="22" t="s">
        <v>32</v>
      </c>
      <c r="B5" s="23" t="s">
        <v>33</v>
      </c>
      <c r="C5" s="23" t="s">
        <v>34</v>
      </c>
      <c r="D5" s="22" t="s">
        <v>35</v>
      </c>
      <c r="E5" s="22" t="s">
        <v>36</v>
      </c>
      <c r="F5" s="11" t="s">
        <v>37</v>
      </c>
      <c r="G5" s="24" t="s">
        <v>38</v>
      </c>
      <c r="H5" s="22" t="s">
        <v>39</v>
      </c>
      <c r="I5" s="22" t="s">
        <v>172</v>
      </c>
      <c r="J5" s="23" t="s">
        <v>40</v>
      </c>
      <c r="K5" s="22" t="n">
        <v>3</v>
      </c>
      <c r="L5" s="22" t="s">
        <v>172</v>
      </c>
    </row>
    <row r="6" customFormat="false" ht="18" hidden="false" customHeight="true" outlineLevel="0" collapsed="false">
      <c r="A6" s="18" t="s">
        <v>49</v>
      </c>
      <c r="B6" s="19" t="s">
        <v>50</v>
      </c>
      <c r="C6" s="19" t="s">
        <v>51</v>
      </c>
      <c r="D6" s="18" t="s">
        <v>52</v>
      </c>
      <c r="E6" s="18" t="s">
        <v>53</v>
      </c>
      <c r="F6" s="25" t="s">
        <v>54</v>
      </c>
      <c r="G6" s="26" t="s">
        <v>55</v>
      </c>
      <c r="H6" s="18" t="s">
        <v>56</v>
      </c>
      <c r="I6" s="18" t="s">
        <v>57</v>
      </c>
      <c r="J6" s="19" t="s">
        <v>58</v>
      </c>
      <c r="K6" s="18" t="n">
        <v>5</v>
      </c>
      <c r="L6" s="18" t="n">
        <v>48</v>
      </c>
    </row>
    <row r="7" customFormat="false" ht="18" hidden="false" customHeight="true" outlineLevel="0" collapsed="false">
      <c r="A7" s="22" t="s">
        <v>59</v>
      </c>
      <c r="B7" s="23" t="s">
        <v>60</v>
      </c>
      <c r="C7" s="23" t="s">
        <v>61</v>
      </c>
      <c r="D7" s="22" t="s">
        <v>52</v>
      </c>
      <c r="E7" s="22" t="s">
        <v>63</v>
      </c>
      <c r="F7" s="24" t="s">
        <v>64</v>
      </c>
      <c r="G7" s="11" t="s">
        <v>65</v>
      </c>
      <c r="H7" s="22" t="s">
        <v>66</v>
      </c>
      <c r="I7" s="22" t="s">
        <v>172</v>
      </c>
      <c r="J7" s="23" t="s">
        <v>67</v>
      </c>
      <c r="K7" s="22" t="s">
        <v>172</v>
      </c>
      <c r="L7" s="22" t="s">
        <v>172</v>
      </c>
    </row>
    <row r="8" customFormat="false" ht="18" hidden="false" customHeight="true" outlineLevel="0" collapsed="false">
      <c r="A8" s="18" t="s">
        <v>69</v>
      </c>
      <c r="B8" s="19" t="s">
        <v>70</v>
      </c>
      <c r="C8" s="19" t="s">
        <v>71</v>
      </c>
      <c r="D8" s="18" t="s">
        <v>72</v>
      </c>
      <c r="E8" s="18" t="s">
        <v>73</v>
      </c>
      <c r="F8" s="20" t="s">
        <v>18</v>
      </c>
      <c r="G8" s="21" t="s">
        <v>19</v>
      </c>
      <c r="H8" s="18" t="s">
        <v>57</v>
      </c>
      <c r="I8" s="18" t="s">
        <v>74</v>
      </c>
      <c r="J8" s="19" t="s">
        <v>75</v>
      </c>
      <c r="K8" s="18" t="n">
        <v>4</v>
      </c>
      <c r="L8" s="18" t="n">
        <v>24</v>
      </c>
    </row>
    <row r="9" customFormat="false" ht="18" hidden="false" customHeight="true" outlineLevel="0" collapsed="false">
      <c r="A9" s="22" t="s">
        <v>86</v>
      </c>
      <c r="B9" s="23" t="s">
        <v>87</v>
      </c>
      <c r="C9" s="23" t="s">
        <v>88</v>
      </c>
      <c r="D9" s="22" t="s">
        <v>89</v>
      </c>
      <c r="E9" s="22" t="s">
        <v>90</v>
      </c>
      <c r="F9" s="11" t="s">
        <v>37</v>
      </c>
      <c r="G9" s="24" t="s">
        <v>38</v>
      </c>
      <c r="H9" s="22" t="s">
        <v>74</v>
      </c>
      <c r="I9" s="22" t="s">
        <v>172</v>
      </c>
      <c r="J9" s="23" t="s">
        <v>22</v>
      </c>
      <c r="K9" s="22" t="n">
        <v>2.5</v>
      </c>
      <c r="L9" s="22" t="s">
        <v>172</v>
      </c>
    </row>
    <row r="10" customFormat="false" ht="18" hidden="false" customHeight="true" outlineLevel="0" collapsed="false">
      <c r="A10" s="18" t="s">
        <v>91</v>
      </c>
      <c r="B10" s="19" t="s">
        <v>92</v>
      </c>
      <c r="C10" s="19" t="s">
        <v>93</v>
      </c>
      <c r="D10" s="18" t="s">
        <v>89</v>
      </c>
      <c r="E10" s="18" t="s">
        <v>90</v>
      </c>
      <c r="F10" s="25" t="s">
        <v>54</v>
      </c>
      <c r="G10" s="21" t="s">
        <v>19</v>
      </c>
      <c r="H10" s="18" t="s">
        <v>95</v>
      </c>
      <c r="I10" s="18" t="s">
        <v>96</v>
      </c>
      <c r="J10" s="19" t="s">
        <v>40</v>
      </c>
      <c r="K10" s="18" t="n">
        <v>3.5</v>
      </c>
      <c r="L10" s="18" t="n">
        <v>72</v>
      </c>
    </row>
    <row r="11" customFormat="false" ht="18" hidden="false" customHeight="true" outlineLevel="0" collapsed="false">
      <c r="A11" s="22" t="s">
        <v>105</v>
      </c>
      <c r="B11" s="23" t="s">
        <v>106</v>
      </c>
      <c r="C11" s="23" t="s">
        <v>107</v>
      </c>
      <c r="D11" s="22" t="s">
        <v>100</v>
      </c>
      <c r="E11" s="22" t="s">
        <v>17</v>
      </c>
      <c r="F11" s="20" t="s">
        <v>18</v>
      </c>
      <c r="G11" s="11" t="s">
        <v>65</v>
      </c>
      <c r="H11" s="22" t="s">
        <v>109</v>
      </c>
      <c r="I11" s="22" t="s">
        <v>172</v>
      </c>
      <c r="J11" s="23" t="s">
        <v>58</v>
      </c>
      <c r="K11" s="22" t="s">
        <v>172</v>
      </c>
      <c r="L11" s="22" t="s">
        <v>172</v>
      </c>
    </row>
    <row r="12" customFormat="false" ht="18" hidden="false" customHeight="true" outlineLevel="0" collapsed="false">
      <c r="A12" s="18" t="s">
        <v>110</v>
      </c>
      <c r="B12" s="19" t="s">
        <v>111</v>
      </c>
      <c r="C12" s="19" t="s">
        <v>112</v>
      </c>
      <c r="D12" s="18" t="s">
        <v>113</v>
      </c>
      <c r="E12" s="18" t="s">
        <v>36</v>
      </c>
      <c r="F12" s="11" t="s">
        <v>37</v>
      </c>
      <c r="G12" s="21" t="s">
        <v>19</v>
      </c>
      <c r="H12" s="18" t="s">
        <v>114</v>
      </c>
      <c r="I12" s="18" t="s">
        <v>115</v>
      </c>
      <c r="J12" s="19" t="s">
        <v>67</v>
      </c>
      <c r="K12" s="18" t="n">
        <v>4.8</v>
      </c>
      <c r="L12" s="18" t="n">
        <v>32</v>
      </c>
    </row>
    <row r="13" customFormat="false" ht="18" hidden="false" customHeight="true" outlineLevel="0" collapsed="false">
      <c r="A13" s="22" t="s">
        <v>117</v>
      </c>
      <c r="B13" s="23" t="s">
        <v>14</v>
      </c>
      <c r="C13" s="23" t="s">
        <v>15</v>
      </c>
      <c r="D13" s="22" t="s">
        <v>16</v>
      </c>
      <c r="E13" s="22" t="s">
        <v>53</v>
      </c>
      <c r="F13" s="11" t="s">
        <v>37</v>
      </c>
      <c r="G13" s="24" t="s">
        <v>38</v>
      </c>
      <c r="H13" s="22" t="s">
        <v>115</v>
      </c>
      <c r="I13" s="22" t="s">
        <v>172</v>
      </c>
      <c r="J13" s="23" t="s">
        <v>75</v>
      </c>
      <c r="K13" s="22" t="s">
        <v>172</v>
      </c>
      <c r="L13" s="22" t="s">
        <v>172</v>
      </c>
    </row>
    <row r="14" customFormat="false" ht="18" hidden="false" customHeight="true" outlineLevel="0" collapsed="false">
      <c r="A14" s="18" t="s">
        <v>119</v>
      </c>
      <c r="B14" s="19" t="s">
        <v>120</v>
      </c>
      <c r="C14" s="19" t="s">
        <v>121</v>
      </c>
      <c r="D14" s="18" t="s">
        <v>122</v>
      </c>
      <c r="E14" s="18" t="s">
        <v>63</v>
      </c>
      <c r="F14" s="20" t="s">
        <v>18</v>
      </c>
      <c r="G14" s="21" t="s">
        <v>19</v>
      </c>
      <c r="H14" s="18" t="s">
        <v>123</v>
      </c>
      <c r="I14" s="18" t="s">
        <v>124</v>
      </c>
      <c r="J14" s="19" t="s">
        <v>22</v>
      </c>
      <c r="K14" s="18" t="n">
        <v>4.2</v>
      </c>
      <c r="L14" s="18" t="n">
        <v>18</v>
      </c>
    </row>
    <row r="15" customFormat="false" ht="18" hidden="false" customHeight="true" outlineLevel="0" collapsed="false">
      <c r="A15" s="22" t="s">
        <v>125</v>
      </c>
      <c r="B15" s="23" t="s">
        <v>126</v>
      </c>
      <c r="C15" s="23" t="s">
        <v>127</v>
      </c>
      <c r="D15" s="22" t="s">
        <v>128</v>
      </c>
      <c r="E15" s="22" t="s">
        <v>73</v>
      </c>
      <c r="F15" s="25" t="s">
        <v>54</v>
      </c>
      <c r="G15" s="26" t="s">
        <v>55</v>
      </c>
      <c r="H15" s="22" t="s">
        <v>124</v>
      </c>
      <c r="I15" s="22" t="s">
        <v>129</v>
      </c>
      <c r="J15" s="23" t="s">
        <v>40</v>
      </c>
      <c r="K15" s="22" t="n">
        <v>3.8</v>
      </c>
      <c r="L15" s="22" t="n">
        <v>40</v>
      </c>
    </row>
    <row r="16" customFormat="false" ht="18" hidden="false" customHeight="true" outlineLevel="0" collapsed="false">
      <c r="A16" s="18" t="s">
        <v>137</v>
      </c>
      <c r="B16" s="19" t="s">
        <v>138</v>
      </c>
      <c r="C16" s="19" t="s">
        <v>139</v>
      </c>
      <c r="D16" s="18" t="s">
        <v>140</v>
      </c>
      <c r="E16" s="18" t="s">
        <v>90</v>
      </c>
      <c r="F16" s="24" t="s">
        <v>64</v>
      </c>
      <c r="G16" s="24" t="s">
        <v>38</v>
      </c>
      <c r="H16" s="18" t="s">
        <v>141</v>
      </c>
      <c r="I16" s="18" t="s">
        <v>172</v>
      </c>
      <c r="J16" s="19" t="s">
        <v>58</v>
      </c>
      <c r="K16" s="18" t="s">
        <v>172</v>
      </c>
      <c r="L16" s="18" t="s">
        <v>172</v>
      </c>
    </row>
    <row r="17" customFormat="false" ht="18" hidden="false" customHeight="true" outlineLevel="0" collapsed="false">
      <c r="A17" s="22" t="s">
        <v>142</v>
      </c>
      <c r="B17" s="23" t="s">
        <v>143</v>
      </c>
      <c r="C17" s="23" t="s">
        <v>144</v>
      </c>
      <c r="D17" s="22" t="s">
        <v>145</v>
      </c>
      <c r="E17" s="22" t="s">
        <v>17</v>
      </c>
      <c r="F17" s="11" t="s">
        <v>37</v>
      </c>
      <c r="G17" s="21" t="s">
        <v>19</v>
      </c>
      <c r="H17" s="22" t="s">
        <v>129</v>
      </c>
      <c r="I17" s="22" t="s">
        <v>146</v>
      </c>
      <c r="J17" s="23" t="s">
        <v>67</v>
      </c>
      <c r="K17" s="22" t="n">
        <v>4.1</v>
      </c>
      <c r="L17" s="22" t="n">
        <v>28</v>
      </c>
    </row>
    <row r="18" customFormat="false" ht="18" hidden="false" customHeight="true" outlineLevel="0" collapsed="false">
      <c r="A18" s="18" t="s">
        <v>147</v>
      </c>
      <c r="B18" s="19" t="s">
        <v>148</v>
      </c>
      <c r="C18" s="19" t="s">
        <v>149</v>
      </c>
      <c r="D18" s="18" t="s">
        <v>150</v>
      </c>
      <c r="E18" s="18" t="s">
        <v>36</v>
      </c>
      <c r="F18" s="20" t="s">
        <v>18</v>
      </c>
      <c r="G18" s="11" t="s">
        <v>65</v>
      </c>
      <c r="H18" s="18" t="s">
        <v>151</v>
      </c>
      <c r="I18" s="18" t="s">
        <v>172</v>
      </c>
      <c r="J18" s="19" t="s">
        <v>75</v>
      </c>
      <c r="K18" s="18" t="s">
        <v>172</v>
      </c>
      <c r="L18" s="18" t="s">
        <v>172</v>
      </c>
    </row>
    <row r="19" customFormat="false" ht="18" hidden="false" customHeight="true" outlineLevel="0" collapsed="false">
      <c r="A19" s="22" t="s">
        <v>152</v>
      </c>
      <c r="B19" s="23" t="s">
        <v>153</v>
      </c>
      <c r="C19" s="23" t="s">
        <v>154</v>
      </c>
      <c r="D19" s="22" t="s">
        <v>155</v>
      </c>
      <c r="E19" s="22" t="s">
        <v>53</v>
      </c>
      <c r="F19" s="25" t="s">
        <v>54</v>
      </c>
      <c r="G19" s="21" t="s">
        <v>19</v>
      </c>
      <c r="H19" s="22" t="s">
        <v>146</v>
      </c>
      <c r="I19" s="22" t="s">
        <v>156</v>
      </c>
      <c r="J19" s="23" t="s">
        <v>22</v>
      </c>
      <c r="K19" s="22" t="n">
        <v>5</v>
      </c>
      <c r="L19" s="22" t="n">
        <v>36</v>
      </c>
    </row>
    <row r="20" customFormat="false" ht="18" hidden="false" customHeight="true" outlineLevel="0" collapsed="false">
      <c r="A20" s="18" t="s">
        <v>164</v>
      </c>
      <c r="B20" s="19" t="s">
        <v>165</v>
      </c>
      <c r="C20" s="19" t="s">
        <v>166</v>
      </c>
      <c r="D20" s="18" t="s">
        <v>167</v>
      </c>
      <c r="E20" s="18" t="s">
        <v>63</v>
      </c>
      <c r="F20" s="11" t="s">
        <v>37</v>
      </c>
      <c r="G20" s="26" t="s">
        <v>55</v>
      </c>
      <c r="H20" s="18" t="s">
        <v>168</v>
      </c>
      <c r="I20" s="18" t="s">
        <v>169</v>
      </c>
      <c r="J20" s="19" t="s">
        <v>40</v>
      </c>
      <c r="K20" s="18" t="n">
        <v>3.2</v>
      </c>
      <c r="L20" s="18" t="n">
        <v>44</v>
      </c>
    </row>
  </sheetData>
  <autoFilter ref="A3:L3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5"/>
  </cols>
  <sheetData>
    <row r="1" customFormat="false" ht="31.5" hidden="false" customHeight="true" outlineLevel="0" collapsed="false">
      <c r="A1" s="27" t="s">
        <v>173</v>
      </c>
      <c r="B1" s="27"/>
    </row>
    <row r="2" customFormat="false" ht="19.5" hidden="false" customHeight="true" outlineLevel="0" collapsed="false">
      <c r="A2" s="28" t="s">
        <v>174</v>
      </c>
      <c r="B2" s="28"/>
    </row>
    <row r="3" customFormat="false" ht="15" hidden="false" customHeight="false" outlineLevel="0" collapsed="false">
      <c r="A3" s="29" t="s">
        <v>175</v>
      </c>
    </row>
    <row r="4" customFormat="false" ht="15" hidden="false" customHeight="false" outlineLevel="0" collapsed="false">
      <c r="A4" s="30"/>
    </row>
    <row r="5" customFormat="false" ht="15" hidden="false" customHeight="false" outlineLevel="0" collapsed="false">
      <c r="A5" s="31" t="s">
        <v>176</v>
      </c>
    </row>
    <row r="6" customFormat="false" ht="15" hidden="false" customHeight="false" outlineLevel="0" collapsed="false">
      <c r="A6" s="32" t="s">
        <v>177</v>
      </c>
    </row>
    <row r="7" customFormat="false" ht="15" hidden="false" customHeight="false" outlineLevel="0" collapsed="false">
      <c r="A7" s="33" t="s">
        <v>178</v>
      </c>
    </row>
    <row r="8" customFormat="false" ht="15" hidden="false" customHeight="false" outlineLevel="0" collapsed="false">
      <c r="A8" s="32" t="s">
        <v>179</v>
      </c>
    </row>
    <row r="9" customFormat="false" ht="15" hidden="false" customHeight="false" outlineLevel="0" collapsed="false">
      <c r="A9" s="33" t="s">
        <v>180</v>
      </c>
    </row>
    <row r="10" customFormat="false" ht="15" hidden="false" customHeight="false" outlineLevel="0" collapsed="false">
      <c r="A10" s="32" t="s">
        <v>181</v>
      </c>
    </row>
    <row r="11" customFormat="false" ht="15" hidden="false" customHeight="false" outlineLevel="0" collapsed="false">
      <c r="A11" s="33" t="s">
        <v>182</v>
      </c>
    </row>
    <row r="12" customFormat="false" ht="15" hidden="false" customHeight="false" outlineLevel="0" collapsed="false">
      <c r="A12" s="32" t="s">
        <v>183</v>
      </c>
    </row>
    <row r="13" customFormat="false" ht="15" hidden="false" customHeight="false" outlineLevel="0" collapsed="false">
      <c r="A13" s="31" t="s">
        <v>176</v>
      </c>
    </row>
    <row r="14" customFormat="false" ht="15" hidden="false" customHeight="false" outlineLevel="0" collapsed="false">
      <c r="A14" s="30"/>
    </row>
    <row r="15" customFormat="false" ht="15" hidden="false" customHeight="false" outlineLevel="0" collapsed="false">
      <c r="A15" s="34" t="s">
        <v>184</v>
      </c>
    </row>
    <row r="16" customFormat="false" ht="15" hidden="false" customHeight="false" outlineLevel="0" collapsed="false">
      <c r="A16" s="30"/>
    </row>
    <row r="17" customFormat="false" ht="15" hidden="false" customHeight="false" outlineLevel="0" collapsed="false">
      <c r="A17" s="29" t="s">
        <v>185</v>
      </c>
    </row>
    <row r="18" customFormat="false" ht="15" hidden="false" customHeight="false" outlineLevel="0" collapsed="false">
      <c r="A18" s="30" t="s">
        <v>186</v>
      </c>
    </row>
    <row r="19" customFormat="false" ht="15" hidden="false" customHeight="false" outlineLevel="0" collapsed="false">
      <c r="A19" s="29" t="s">
        <v>187</v>
      </c>
    </row>
    <row r="20" customFormat="false" ht="15" hidden="false" customHeight="false" outlineLevel="0" collapsed="false">
      <c r="A20" s="30" t="s">
        <v>188</v>
      </c>
    </row>
    <row r="21" customFormat="false" ht="15" hidden="false" customHeight="false" outlineLevel="0" collapsed="false">
      <c r="A21" s="29" t="s">
        <v>189</v>
      </c>
    </row>
    <row r="22" customFormat="false" ht="15" hidden="false" customHeight="false" outlineLevel="0" collapsed="false">
      <c r="A22" s="30" t="s">
        <v>190</v>
      </c>
    </row>
    <row r="23" customFormat="false" ht="15" hidden="false" customHeight="false" outlineLevel="0" collapsed="false">
      <c r="A23" s="29" t="s">
        <v>191</v>
      </c>
    </row>
    <row r="24" customFormat="false" ht="15" hidden="false" customHeight="false" outlineLevel="0" collapsed="false">
      <c r="A24" s="30" t="s">
        <v>192</v>
      </c>
    </row>
    <row r="25" customFormat="false" ht="15" hidden="false" customHeight="false" outlineLevel="0" collapsed="false">
      <c r="A25" s="29" t="s">
        <v>193</v>
      </c>
    </row>
    <row r="26" customFormat="false" ht="15" hidden="false" customHeight="false" outlineLevel="0" collapsed="false">
      <c r="A26" s="30"/>
    </row>
    <row r="27" customFormat="false" ht="15" hidden="false" customHeight="false" outlineLevel="0" collapsed="false">
      <c r="A27" s="29" t="s">
        <v>194</v>
      </c>
    </row>
    <row r="28" customFormat="false" ht="15" hidden="false" customHeight="false" outlineLevel="0" collapsed="false">
      <c r="A28" s="30" t="s">
        <v>195</v>
      </c>
    </row>
    <row r="29" customFormat="false" ht="15" hidden="false" customHeight="false" outlineLevel="0" collapsed="false">
      <c r="A29" s="29"/>
    </row>
    <row r="30" customFormat="false" ht="15" hidden="false" customHeight="false" outlineLevel="0" collapsed="false">
      <c r="A30" s="35" t="s">
        <v>196</v>
      </c>
    </row>
    <row r="31" customFormat="false" ht="15" hidden="false" customHeight="false" outlineLevel="0" collapsed="false">
      <c r="A31" s="29" t="s">
        <v>197</v>
      </c>
    </row>
    <row r="32" customFormat="false" ht="15" hidden="false" customHeight="false" outlineLevel="0" collapsed="false">
      <c r="A32" s="30" t="s">
        <v>198</v>
      </c>
    </row>
    <row r="33" customFormat="false" ht="15" hidden="false" customHeight="false" outlineLevel="0" collapsed="false">
      <c r="A33" s="29" t="s">
        <v>199</v>
      </c>
    </row>
    <row r="34" customFormat="false" ht="15" hidden="false" customHeight="false" outlineLevel="0" collapsed="false">
      <c r="A34" s="30"/>
    </row>
    <row r="35" customFormat="false" ht="15" hidden="false" customHeight="false" outlineLevel="0" collapsed="false">
      <c r="A35" s="29" t="s">
        <v>200</v>
      </c>
    </row>
    <row r="36" customFormat="false" ht="15" hidden="false" customHeight="false" outlineLevel="0" collapsed="false">
      <c r="A36" s="30" t="s">
        <v>201</v>
      </c>
    </row>
    <row r="37" customFormat="false" ht="15" hidden="false" customHeight="false" outlineLevel="0" collapsed="false">
      <c r="A37" s="29" t="s">
        <v>202</v>
      </c>
    </row>
    <row r="38" customFormat="false" ht="15" hidden="false" customHeight="false" outlineLevel="0" collapsed="false">
      <c r="A38" s="30" t="s">
        <v>203</v>
      </c>
    </row>
    <row r="39" customFormat="false" ht="15" hidden="false" customHeight="false" outlineLevel="0" collapsed="false">
      <c r="A39" s="29"/>
    </row>
    <row r="40" customFormat="false" ht="15" hidden="false" customHeight="false" outlineLevel="0" collapsed="false">
      <c r="A40" s="30" t="s">
        <v>204</v>
      </c>
    </row>
    <row r="41" customFormat="false" ht="15" hidden="false" customHeight="false" outlineLevel="0" collapsed="false">
      <c r="A41" s="29" t="s">
        <v>205</v>
      </c>
    </row>
    <row r="42" customFormat="false" ht="15" hidden="false" customHeight="false" outlineLevel="0" collapsed="false">
      <c r="A42" s="30"/>
    </row>
    <row r="43" customFormat="false" ht="15" hidden="false" customHeight="false" outlineLevel="0" collapsed="false">
      <c r="A43" s="31" t="s">
        <v>206</v>
      </c>
    </row>
    <row r="44" customFormat="false" ht="15" hidden="false" customHeight="false" outlineLevel="0" collapsed="false">
      <c r="A44" s="32" t="s">
        <v>207</v>
      </c>
    </row>
    <row r="45" customFormat="false" ht="15" hidden="false" customHeight="false" outlineLevel="0" collapsed="false">
      <c r="A45" s="29" t="s">
        <v>208</v>
      </c>
    </row>
    <row r="46" customFormat="false" ht="15" hidden="false" customHeight="false" outlineLevel="0" collapsed="false">
      <c r="A46" s="30" t="s">
        <v>209</v>
      </c>
    </row>
    <row r="47" customFormat="false" ht="15" hidden="false" customHeight="false" outlineLevel="0" collapsed="false">
      <c r="A47" s="29"/>
    </row>
    <row r="48" customFormat="false" ht="15" hidden="false" customHeight="false" outlineLevel="0" collapsed="false">
      <c r="A48" s="30" t="s">
        <v>210</v>
      </c>
    </row>
    <row r="49" customFormat="false" ht="15" hidden="false" customHeight="false" outlineLevel="0" collapsed="false">
      <c r="A49" s="29" t="s">
        <v>211</v>
      </c>
    </row>
    <row r="50" customFormat="false" ht="15" hidden="false" customHeight="false" outlineLevel="0" collapsed="false">
      <c r="A50" s="30" t="s">
        <v>212</v>
      </c>
    </row>
    <row r="51" customFormat="false" ht="15" hidden="false" customHeight="false" outlineLevel="0" collapsed="false">
      <c r="A51" s="29"/>
    </row>
    <row r="52" customFormat="false" ht="15" hidden="false" customHeight="false" outlineLevel="0" collapsed="false">
      <c r="A52" s="30" t="s">
        <v>213</v>
      </c>
    </row>
    <row r="53" customFormat="false" ht="15" hidden="false" customHeight="false" outlineLevel="0" collapsed="false">
      <c r="A53" s="29" t="s">
        <v>214</v>
      </c>
    </row>
    <row r="54" customFormat="false" ht="15" hidden="false" customHeight="false" outlineLevel="0" collapsed="false">
      <c r="A54" s="30" t="s">
        <v>215</v>
      </c>
    </row>
    <row r="55" customFormat="false" ht="15" hidden="false" customHeight="false" outlineLevel="0" collapsed="false">
      <c r="A55" s="29" t="s">
        <v>216</v>
      </c>
    </row>
    <row r="56" customFormat="false" ht="15" hidden="false" customHeight="false" outlineLevel="0" collapsed="false">
      <c r="A56" s="30" t="s">
        <v>217</v>
      </c>
    </row>
    <row r="57" customFormat="false" ht="15" hidden="false" customHeight="false" outlineLevel="0" collapsed="false">
      <c r="A57" s="29" t="s">
        <v>218</v>
      </c>
    </row>
    <row r="58" customFormat="false" ht="15" hidden="false" customHeight="false" outlineLevel="0" collapsed="false">
      <c r="A58" s="30" t="s">
        <v>219</v>
      </c>
    </row>
    <row r="59" customFormat="false" ht="15" hidden="false" customHeight="false" outlineLevel="0" collapsed="false">
      <c r="A59" s="29" t="s">
        <v>220</v>
      </c>
    </row>
    <row r="60" customFormat="false" ht="15" hidden="false" customHeight="false" outlineLevel="0" collapsed="false">
      <c r="A60" s="30" t="s">
        <v>221</v>
      </c>
    </row>
    <row r="61" customFormat="false" ht="15" hidden="false" customHeight="false" outlineLevel="0" collapsed="false">
      <c r="A61" s="29" t="s">
        <v>222</v>
      </c>
    </row>
    <row r="62" customFormat="false" ht="15" hidden="false" customHeight="false" outlineLevel="0" collapsed="false">
      <c r="A62" s="30" t="s">
        <v>223</v>
      </c>
    </row>
    <row r="63" customFormat="false" ht="15" hidden="false" customHeight="false" outlineLevel="0" collapsed="false">
      <c r="A63" s="29"/>
    </row>
    <row r="64" customFormat="false" ht="15" hidden="false" customHeight="false" outlineLevel="0" collapsed="false">
      <c r="A64" s="35" t="s">
        <v>224</v>
      </c>
    </row>
    <row r="65" customFormat="false" ht="15" hidden="false" customHeight="false" outlineLevel="0" collapsed="false">
      <c r="A65" s="29" t="s">
        <v>210</v>
      </c>
    </row>
    <row r="66" customFormat="false" ht="15" hidden="false" customHeight="false" outlineLevel="0" collapsed="false">
      <c r="A66" s="30" t="s">
        <v>225</v>
      </c>
    </row>
    <row r="67" customFormat="false" ht="15" hidden="false" customHeight="false" outlineLevel="0" collapsed="false">
      <c r="A67" s="29"/>
    </row>
    <row r="68" customFormat="false" ht="15" hidden="false" customHeight="false" outlineLevel="0" collapsed="false">
      <c r="A68" s="32" t="s">
        <v>226</v>
      </c>
    </row>
    <row r="69" customFormat="false" ht="15" hidden="false" customHeight="false" outlineLevel="0" collapsed="false">
      <c r="A69" s="29" t="s">
        <v>227</v>
      </c>
    </row>
    <row r="70" customFormat="false" ht="15" hidden="false" customHeight="false" outlineLevel="0" collapsed="false">
      <c r="A70" s="30" t="s">
        <v>228</v>
      </c>
    </row>
    <row r="71" customFormat="false" ht="15" hidden="false" customHeight="false" outlineLevel="0" collapsed="false">
      <c r="A71" s="29" t="s">
        <v>229</v>
      </c>
    </row>
    <row r="72" customFormat="false" ht="15" hidden="false" customHeight="false" outlineLevel="0" collapsed="false">
      <c r="A72" s="30" t="s">
        <v>230</v>
      </c>
    </row>
    <row r="73" customFormat="false" ht="15" hidden="false" customHeight="false" outlineLevel="0" collapsed="false">
      <c r="A73" s="29" t="s">
        <v>231</v>
      </c>
    </row>
    <row r="74" customFormat="false" ht="15" hidden="false" customHeight="false" outlineLevel="0" collapsed="false">
      <c r="A74" s="30" t="s">
        <v>221</v>
      </c>
    </row>
    <row r="75" customFormat="false" ht="15" hidden="false" customHeight="false" outlineLevel="0" collapsed="false">
      <c r="A75" s="29"/>
    </row>
    <row r="76" customFormat="false" ht="15" hidden="false" customHeight="false" outlineLevel="0" collapsed="false">
      <c r="A76" s="32" t="s">
        <v>232</v>
      </c>
    </row>
    <row r="77" customFormat="false" ht="15" hidden="false" customHeight="false" outlineLevel="0" collapsed="false">
      <c r="A77" s="29" t="s">
        <v>233</v>
      </c>
    </row>
    <row r="78" customFormat="false" ht="15" hidden="false" customHeight="false" outlineLevel="0" collapsed="false">
      <c r="A78" s="30" t="s">
        <v>234</v>
      </c>
    </row>
    <row r="79" customFormat="false" ht="15" hidden="false" customHeight="false" outlineLevel="0" collapsed="false">
      <c r="A79" s="29" t="s">
        <v>235</v>
      </c>
    </row>
    <row r="80" customFormat="false" ht="15" hidden="false" customHeight="false" outlineLevel="0" collapsed="false">
      <c r="A80" s="30" t="s">
        <v>236</v>
      </c>
    </row>
    <row r="81" customFormat="false" ht="15" hidden="false" customHeight="false" outlineLevel="0" collapsed="false">
      <c r="A81" s="29" t="s">
        <v>237</v>
      </c>
    </row>
    <row r="82" customFormat="false" ht="15" hidden="false" customHeight="false" outlineLevel="0" collapsed="false">
      <c r="A82" s="30" t="s">
        <v>238</v>
      </c>
    </row>
    <row r="83" customFormat="false" ht="15" hidden="false" customHeight="false" outlineLevel="0" collapsed="false">
      <c r="A83" s="29" t="s">
        <v>237</v>
      </c>
    </row>
    <row r="84" customFormat="false" ht="15" hidden="false" customHeight="false" outlineLevel="0" collapsed="false">
      <c r="A84" s="30" t="s">
        <v>239</v>
      </c>
    </row>
    <row r="85" customFormat="false" ht="15" hidden="false" customHeight="false" outlineLevel="0" collapsed="false">
      <c r="A85" s="29" t="s">
        <v>237</v>
      </c>
    </row>
    <row r="86" customFormat="false" ht="15" hidden="false" customHeight="false" outlineLevel="0" collapsed="false">
      <c r="A86" s="30" t="s">
        <v>240</v>
      </c>
    </row>
    <row r="87" customFormat="false" ht="15" hidden="false" customHeight="false" outlineLevel="0" collapsed="false">
      <c r="A87" s="29"/>
    </row>
    <row r="88" customFormat="false" ht="15" hidden="false" customHeight="false" outlineLevel="0" collapsed="false">
      <c r="A88" s="32" t="s">
        <v>241</v>
      </c>
    </row>
    <row r="89" customFormat="false" ht="15" hidden="false" customHeight="false" outlineLevel="0" collapsed="false">
      <c r="A89" s="29" t="s">
        <v>242</v>
      </c>
    </row>
    <row r="90" customFormat="false" ht="15" hidden="false" customHeight="false" outlineLevel="0" collapsed="false">
      <c r="A90" s="30" t="s">
        <v>243</v>
      </c>
    </row>
    <row r="91" customFormat="false" ht="15" hidden="false" customHeight="false" outlineLevel="0" collapsed="false">
      <c r="A91" s="29" t="s">
        <v>244</v>
      </c>
    </row>
    <row r="92" customFormat="false" ht="15" hidden="false" customHeight="false" outlineLevel="0" collapsed="false">
      <c r="A92" s="30"/>
    </row>
    <row r="93" customFormat="false" ht="15" hidden="false" customHeight="false" outlineLevel="0" collapsed="false">
      <c r="A93" s="33" t="s">
        <v>245</v>
      </c>
    </row>
    <row r="94" customFormat="false" ht="15" hidden="false" customHeight="false" outlineLevel="0" collapsed="false">
      <c r="A94" s="30" t="s">
        <v>246</v>
      </c>
    </row>
    <row r="95" customFormat="false" ht="15" hidden="false" customHeight="false" outlineLevel="0" collapsed="false">
      <c r="A95" s="29" t="s">
        <v>247</v>
      </c>
    </row>
    <row r="96" customFormat="false" ht="15" hidden="false" customHeight="false" outlineLevel="0" collapsed="false">
      <c r="A96" s="30" t="s">
        <v>248</v>
      </c>
    </row>
    <row r="97" customFormat="false" ht="15" hidden="false" customHeight="false" outlineLevel="0" collapsed="false">
      <c r="A97" s="29"/>
    </row>
    <row r="98" customFormat="false" ht="15" hidden="false" customHeight="false" outlineLevel="0" collapsed="false">
      <c r="A98" s="32" t="s">
        <v>249</v>
      </c>
    </row>
    <row r="99" customFormat="false" ht="15" hidden="false" customHeight="false" outlineLevel="0" collapsed="false">
      <c r="A99" s="29" t="s">
        <v>250</v>
      </c>
    </row>
    <row r="100" customFormat="false" ht="15" hidden="false" customHeight="false" outlineLevel="0" collapsed="false">
      <c r="A100" s="30"/>
    </row>
    <row r="101" customFormat="false" ht="15" hidden="false" customHeight="false" outlineLevel="0" collapsed="false">
      <c r="A101" s="33" t="s">
        <v>251</v>
      </c>
    </row>
    <row r="102" customFormat="false" ht="15" hidden="false" customHeight="false" outlineLevel="0" collapsed="false">
      <c r="A102" s="30" t="s">
        <v>252</v>
      </c>
    </row>
    <row r="103" customFormat="false" ht="15" hidden="false" customHeight="false" outlineLevel="0" collapsed="false">
      <c r="A103" s="29" t="s">
        <v>253</v>
      </c>
    </row>
    <row r="104" customFormat="false" ht="15" hidden="false" customHeight="false" outlineLevel="0" collapsed="false">
      <c r="A104" s="30" t="s">
        <v>254</v>
      </c>
    </row>
    <row r="105" customFormat="false" ht="15" hidden="false" customHeight="false" outlineLevel="0" collapsed="false">
      <c r="A105" s="29" t="s">
        <v>255</v>
      </c>
    </row>
    <row r="106" customFormat="false" ht="15" hidden="false" customHeight="false" outlineLevel="0" collapsed="false">
      <c r="A106" s="30" t="s">
        <v>256</v>
      </c>
    </row>
    <row r="107" customFormat="false" ht="15" hidden="false" customHeight="false" outlineLevel="0" collapsed="false">
      <c r="A107" s="29"/>
    </row>
    <row r="108" customFormat="false" ht="15" hidden="false" customHeight="false" outlineLevel="0" collapsed="false">
      <c r="A108" s="32" t="s">
        <v>257</v>
      </c>
    </row>
    <row r="109" customFormat="false" ht="15" hidden="false" customHeight="false" outlineLevel="0" collapsed="false">
      <c r="A109" s="29" t="s">
        <v>258</v>
      </c>
    </row>
    <row r="110" customFormat="false" ht="15" hidden="false" customHeight="false" outlineLevel="0" collapsed="false">
      <c r="A110" s="30" t="s">
        <v>259</v>
      </c>
    </row>
    <row r="111" customFormat="false" ht="15" hidden="false" customHeight="false" outlineLevel="0" collapsed="false">
      <c r="A111" s="29"/>
    </row>
    <row r="112" customFormat="false" ht="15" hidden="false" customHeight="false" outlineLevel="0" collapsed="false">
      <c r="A112" s="30" t="s">
        <v>222</v>
      </c>
    </row>
    <row r="113" customFormat="false" ht="15" hidden="false" customHeight="false" outlineLevel="0" collapsed="false">
      <c r="A113" s="29" t="s">
        <v>223</v>
      </c>
    </row>
    <row r="114" customFormat="false" ht="15" hidden="false" customHeight="false" outlineLevel="0" collapsed="false">
      <c r="A114" s="30"/>
    </row>
    <row r="115" customFormat="false" ht="15" hidden="false" customHeight="false" outlineLevel="0" collapsed="false">
      <c r="A115" s="31" t="s">
        <v>260</v>
      </c>
    </row>
    <row r="116" customFormat="false" ht="15" hidden="false" customHeight="false" outlineLevel="0" collapsed="false">
      <c r="A116" s="30" t="s">
        <v>210</v>
      </c>
    </row>
    <row r="117" customFormat="false" ht="15" hidden="false" customHeight="false" outlineLevel="0" collapsed="false">
      <c r="A117" s="29" t="s">
        <v>225</v>
      </c>
    </row>
    <row r="118" customFormat="false" ht="15" hidden="false" customHeight="false" outlineLevel="0" collapsed="false">
      <c r="A118" s="30"/>
    </row>
    <row r="119" customFormat="false" ht="15" hidden="false" customHeight="false" outlineLevel="0" collapsed="false">
      <c r="A119" s="29" t="s">
        <v>261</v>
      </c>
    </row>
    <row r="120" customFormat="false" ht="15" hidden="false" customHeight="false" outlineLevel="0" collapsed="false">
      <c r="A120" s="30" t="s">
        <v>262</v>
      </c>
    </row>
    <row r="121" customFormat="false" ht="15" hidden="false" customHeight="false" outlineLevel="0" collapsed="false">
      <c r="A121" s="29"/>
    </row>
    <row r="122" customFormat="false" ht="15" hidden="false" customHeight="false" outlineLevel="0" collapsed="false">
      <c r="A122" s="30" t="s">
        <v>263</v>
      </c>
    </row>
    <row r="123" customFormat="false" ht="15" hidden="false" customHeight="false" outlineLevel="0" collapsed="false">
      <c r="A123" s="29" t="s">
        <v>264</v>
      </c>
    </row>
    <row r="124" customFormat="false" ht="15" hidden="false" customHeight="false" outlineLevel="0" collapsed="false">
      <c r="A124" s="30" t="s">
        <v>265</v>
      </c>
    </row>
    <row r="125" customFormat="false" ht="15" hidden="false" customHeight="false" outlineLevel="0" collapsed="false">
      <c r="A125" s="29" t="s">
        <v>266</v>
      </c>
    </row>
    <row r="126" customFormat="false" ht="15" hidden="false" customHeight="false" outlineLevel="0" collapsed="false">
      <c r="A126" s="30" t="s">
        <v>267</v>
      </c>
    </row>
    <row r="127" customFormat="false" ht="15" hidden="false" customHeight="false" outlineLevel="0" collapsed="false">
      <c r="A127" s="29" t="s">
        <v>268</v>
      </c>
    </row>
    <row r="128" customFormat="false" ht="15" hidden="false" customHeight="false" outlineLevel="0" collapsed="false">
      <c r="A128" s="30" t="s">
        <v>269</v>
      </c>
    </row>
    <row r="129" customFormat="false" ht="15" hidden="false" customHeight="false" outlineLevel="0" collapsed="false">
      <c r="A129" s="29" t="s">
        <v>270</v>
      </c>
    </row>
    <row r="130" customFormat="false" ht="15" hidden="false" customHeight="false" outlineLevel="0" collapsed="false">
      <c r="A130" s="30" t="s">
        <v>271</v>
      </c>
    </row>
    <row r="131" customFormat="false" ht="15" hidden="false" customHeight="false" outlineLevel="0" collapsed="false">
      <c r="A131" s="29" t="s">
        <v>221</v>
      </c>
    </row>
    <row r="132" customFormat="false" ht="15" hidden="false" customHeight="false" outlineLevel="0" collapsed="false">
      <c r="A132" s="30"/>
    </row>
    <row r="133" customFormat="false" ht="15" hidden="false" customHeight="false" outlineLevel="0" collapsed="false">
      <c r="A133" s="33" t="s">
        <v>272</v>
      </c>
    </row>
    <row r="134" customFormat="false" ht="15" hidden="false" customHeight="false" outlineLevel="0" collapsed="false">
      <c r="A134" s="30" t="s">
        <v>273</v>
      </c>
    </row>
    <row r="135" customFormat="false" ht="15" hidden="false" customHeight="false" outlineLevel="0" collapsed="false">
      <c r="A135" s="29" t="s">
        <v>274</v>
      </c>
    </row>
    <row r="136" customFormat="false" ht="15" hidden="false" customHeight="false" outlineLevel="0" collapsed="false">
      <c r="A136" s="30" t="s">
        <v>275</v>
      </c>
    </row>
    <row r="137" customFormat="false" ht="15" hidden="false" customHeight="false" outlineLevel="0" collapsed="false">
      <c r="A137" s="29" t="s">
        <v>276</v>
      </c>
    </row>
    <row r="138" customFormat="false" ht="15" hidden="false" customHeight="false" outlineLevel="0" collapsed="false">
      <c r="A138" s="30" t="s">
        <v>218</v>
      </c>
    </row>
    <row r="139" customFormat="false" ht="15" hidden="false" customHeight="false" outlineLevel="0" collapsed="false">
      <c r="A139" s="29" t="s">
        <v>264</v>
      </c>
    </row>
    <row r="140" customFormat="false" ht="15" hidden="false" customHeight="false" outlineLevel="0" collapsed="false">
      <c r="A140" s="30" t="s">
        <v>277</v>
      </c>
    </row>
    <row r="141" customFormat="false" ht="15" hidden="false" customHeight="false" outlineLevel="0" collapsed="false">
      <c r="A141" s="29" t="s">
        <v>267</v>
      </c>
    </row>
    <row r="142" customFormat="false" ht="15" hidden="false" customHeight="false" outlineLevel="0" collapsed="false">
      <c r="A142" s="30" t="s">
        <v>278</v>
      </c>
    </row>
    <row r="143" customFormat="false" ht="15" hidden="false" customHeight="false" outlineLevel="0" collapsed="false">
      <c r="A143" s="29" t="s">
        <v>279</v>
      </c>
    </row>
    <row r="144" customFormat="false" ht="15" hidden="false" customHeight="false" outlineLevel="0" collapsed="false">
      <c r="A144" s="30" t="s">
        <v>270</v>
      </c>
    </row>
    <row r="145" customFormat="false" ht="15" hidden="false" customHeight="false" outlineLevel="0" collapsed="false">
      <c r="A145" s="29" t="s">
        <v>271</v>
      </c>
    </row>
    <row r="146" customFormat="false" ht="15" hidden="false" customHeight="false" outlineLevel="0" collapsed="false">
      <c r="A146" s="30" t="s">
        <v>221</v>
      </c>
    </row>
    <row r="147" customFormat="false" ht="15" hidden="false" customHeight="false" outlineLevel="0" collapsed="false">
      <c r="A147" s="29"/>
    </row>
    <row r="148" customFormat="false" ht="15" hidden="false" customHeight="false" outlineLevel="0" collapsed="false">
      <c r="A148" s="30" t="s">
        <v>222</v>
      </c>
    </row>
    <row r="149" customFormat="false" ht="15" hidden="false" customHeight="false" outlineLevel="0" collapsed="false">
      <c r="A149" s="29" t="s">
        <v>223</v>
      </c>
    </row>
    <row r="150" customFormat="false" ht="15" hidden="false" customHeight="false" outlineLevel="0" collapsed="false">
      <c r="A150" s="30"/>
    </row>
    <row r="151" customFormat="false" ht="15" hidden="false" customHeight="false" outlineLevel="0" collapsed="false">
      <c r="A151" s="31" t="s">
        <v>280</v>
      </c>
    </row>
    <row r="152" customFormat="false" ht="15" hidden="false" customHeight="false" outlineLevel="0" collapsed="false">
      <c r="A152" s="30" t="s">
        <v>281</v>
      </c>
    </row>
    <row r="153" customFormat="false" ht="15" hidden="false" customHeight="false" outlineLevel="0" collapsed="false">
      <c r="A153" s="29" t="s">
        <v>282</v>
      </c>
    </row>
    <row r="154" customFormat="false" ht="15" hidden="false" customHeight="false" outlineLevel="0" collapsed="false">
      <c r="A154" s="30"/>
    </row>
    <row r="155" customFormat="false" ht="15" hidden="false" customHeight="false" outlineLevel="0" collapsed="false">
      <c r="A155" s="29" t="s">
        <v>210</v>
      </c>
    </row>
    <row r="156" customFormat="false" ht="15" hidden="false" customHeight="false" outlineLevel="0" collapsed="false">
      <c r="A156" s="30" t="s">
        <v>225</v>
      </c>
    </row>
    <row r="157" customFormat="false" ht="15" hidden="false" customHeight="false" outlineLevel="0" collapsed="false">
      <c r="A157" s="29" t="s">
        <v>283</v>
      </c>
    </row>
    <row r="158" customFormat="false" ht="15" hidden="false" customHeight="false" outlineLevel="0" collapsed="false">
      <c r="A158" s="30" t="s">
        <v>284</v>
      </c>
    </row>
    <row r="159" customFormat="false" ht="15" hidden="false" customHeight="false" outlineLevel="0" collapsed="false">
      <c r="A159" s="29" t="s">
        <v>285</v>
      </c>
    </row>
    <row r="160" customFormat="false" ht="15" hidden="false" customHeight="false" outlineLevel="0" collapsed="false">
      <c r="A160" s="30" t="s">
        <v>286</v>
      </c>
    </row>
    <row r="161" customFormat="false" ht="15" hidden="false" customHeight="false" outlineLevel="0" collapsed="false">
      <c r="A161" s="29" t="s">
        <v>287</v>
      </c>
    </row>
    <row r="162" customFormat="false" ht="15" hidden="false" customHeight="false" outlineLevel="0" collapsed="false">
      <c r="A162" s="30" t="s">
        <v>288</v>
      </c>
    </row>
    <row r="163" customFormat="false" ht="15" hidden="false" customHeight="false" outlineLevel="0" collapsed="false">
      <c r="A163" s="29" t="s">
        <v>270</v>
      </c>
    </row>
    <row r="164" customFormat="false" ht="15" hidden="false" customHeight="false" outlineLevel="0" collapsed="false">
      <c r="A164" s="30" t="s">
        <v>289</v>
      </c>
    </row>
    <row r="165" customFormat="false" ht="15" hidden="false" customHeight="false" outlineLevel="0" collapsed="false">
      <c r="A165" s="29" t="s">
        <v>222</v>
      </c>
    </row>
    <row r="166" customFormat="false" ht="15" hidden="false" customHeight="false" outlineLevel="0" collapsed="false">
      <c r="A166" s="30" t="s">
        <v>223</v>
      </c>
    </row>
    <row r="167" customFormat="false" ht="15" hidden="false" customHeight="false" outlineLevel="0" collapsed="false">
      <c r="A167" s="29"/>
    </row>
    <row r="168" customFormat="false" ht="15" hidden="false" customHeight="false" outlineLevel="0" collapsed="false">
      <c r="A168" s="35" t="s">
        <v>290</v>
      </c>
    </row>
    <row r="169" customFormat="false" ht="15" hidden="false" customHeight="false" outlineLevel="0" collapsed="false">
      <c r="A169" s="29" t="s">
        <v>210</v>
      </c>
    </row>
    <row r="170" customFormat="false" ht="15" hidden="false" customHeight="false" outlineLevel="0" collapsed="false">
      <c r="A170" s="30" t="s">
        <v>225</v>
      </c>
    </row>
    <row r="171" customFormat="false" ht="15" hidden="false" customHeight="false" outlineLevel="0" collapsed="false">
      <c r="A171" s="29" t="s">
        <v>291</v>
      </c>
    </row>
    <row r="172" customFormat="false" ht="15" hidden="false" customHeight="false" outlineLevel="0" collapsed="false">
      <c r="A172" s="30" t="s">
        <v>292</v>
      </c>
    </row>
    <row r="173" customFormat="false" ht="15" hidden="false" customHeight="false" outlineLevel="0" collapsed="false">
      <c r="A173" s="29" t="s">
        <v>221</v>
      </c>
    </row>
    <row r="174" customFormat="false" ht="15" hidden="false" customHeight="false" outlineLevel="0" collapsed="false">
      <c r="A174" s="30" t="s">
        <v>293</v>
      </c>
    </row>
    <row r="175" customFormat="false" ht="15" hidden="false" customHeight="false" outlineLevel="0" collapsed="false">
      <c r="A175" s="29" t="s">
        <v>294</v>
      </c>
    </row>
    <row r="176" customFormat="false" ht="15" hidden="false" customHeight="false" outlineLevel="0" collapsed="false">
      <c r="A176" s="30" t="s">
        <v>295</v>
      </c>
    </row>
    <row r="177" customFormat="false" ht="15" hidden="false" customHeight="false" outlineLevel="0" collapsed="false">
      <c r="A177" s="29" t="s">
        <v>221</v>
      </c>
    </row>
    <row r="178" customFormat="false" ht="15" hidden="false" customHeight="false" outlineLevel="0" collapsed="false">
      <c r="A178" s="30" t="s">
        <v>222</v>
      </c>
    </row>
    <row r="179" customFormat="false" ht="15" hidden="false" customHeight="false" outlineLevel="0" collapsed="false">
      <c r="A179" s="29" t="s">
        <v>223</v>
      </c>
    </row>
    <row r="180" customFormat="false" ht="15" hidden="false" customHeight="false" outlineLevel="0" collapsed="false">
      <c r="A180" s="30"/>
    </row>
    <row r="181" customFormat="false" ht="15" hidden="false" customHeight="false" outlineLevel="0" collapsed="false">
      <c r="A181" s="31" t="s">
        <v>296</v>
      </c>
    </row>
    <row r="182" customFormat="false" ht="15" hidden="false" customHeight="false" outlineLevel="0" collapsed="false">
      <c r="A182" s="30" t="s">
        <v>297</v>
      </c>
    </row>
    <row r="183" customFormat="false" ht="15" hidden="false" customHeight="false" outlineLevel="0" collapsed="false">
      <c r="A183" s="29" t="s">
        <v>298</v>
      </c>
    </row>
    <row r="184" customFormat="false" ht="15" hidden="false" customHeight="false" outlineLevel="0" collapsed="false">
      <c r="A184" s="30" t="s">
        <v>299</v>
      </c>
    </row>
    <row r="185" customFormat="false" ht="15" hidden="false" customHeight="false" outlineLevel="0" collapsed="false">
      <c r="A185" s="29" t="s">
        <v>300</v>
      </c>
    </row>
    <row r="186" customFormat="false" ht="15" hidden="false" customHeight="false" outlineLevel="0" collapsed="false">
      <c r="A186" s="30" t="s">
        <v>301</v>
      </c>
    </row>
    <row r="187" customFormat="false" ht="15" hidden="false" customHeight="false" outlineLevel="0" collapsed="false">
      <c r="A187" s="29" t="s">
        <v>302</v>
      </c>
    </row>
    <row r="188" customFormat="false" ht="15" hidden="false" customHeight="false" outlineLevel="0" collapsed="false">
      <c r="A188" s="30" t="s">
        <v>303</v>
      </c>
    </row>
    <row r="189" customFormat="false" ht="15" hidden="false" customHeight="false" outlineLevel="0" collapsed="false">
      <c r="A189" s="29" t="s">
        <v>304</v>
      </c>
    </row>
    <row r="190" customFormat="false" ht="15" hidden="false" customHeight="false" outlineLevel="0" collapsed="false">
      <c r="A190" s="30" t="s">
        <v>305</v>
      </c>
    </row>
    <row r="191" customFormat="false" ht="15" hidden="false" customHeight="false" outlineLevel="0" collapsed="false">
      <c r="A191" s="29" t="s">
        <v>306</v>
      </c>
    </row>
    <row r="192" customFormat="false" ht="15" hidden="false" customHeight="false" outlineLevel="0" collapsed="false">
      <c r="A192" s="30" t="s">
        <v>307</v>
      </c>
    </row>
    <row r="193" customFormat="false" ht="15" hidden="false" customHeight="false" outlineLevel="0" collapsed="false">
      <c r="A193" s="29" t="s">
        <v>308</v>
      </c>
    </row>
    <row r="194" customFormat="false" ht="15" hidden="false" customHeight="false" outlineLevel="0" collapsed="false">
      <c r="A194" s="30"/>
    </row>
    <row r="195" customFormat="false" ht="15" hidden="false" customHeight="false" outlineLevel="0" collapsed="false">
      <c r="A195" s="29" t="s">
        <v>309</v>
      </c>
    </row>
    <row r="196" customFormat="false" ht="15" hidden="false" customHeight="false" outlineLevel="0" collapsed="false">
      <c r="A196" s="30" t="s">
        <v>310</v>
      </c>
    </row>
    <row r="197" customFormat="false" ht="15" hidden="false" customHeight="false" outlineLevel="0" collapsed="false">
      <c r="A197" s="29"/>
    </row>
    <row r="198" customFormat="false" ht="15" hidden="false" customHeight="false" outlineLevel="0" collapsed="false">
      <c r="A198" s="30" t="s">
        <v>311</v>
      </c>
    </row>
    <row r="199" customFormat="false" ht="15" hidden="false" customHeight="false" outlineLevel="0" collapsed="false">
      <c r="A199" s="29" t="s">
        <v>312</v>
      </c>
    </row>
    <row r="200" customFormat="false" ht="15" hidden="false" customHeight="false" outlineLevel="0" collapsed="false">
      <c r="A200" s="30" t="s">
        <v>313</v>
      </c>
    </row>
    <row r="201" customFormat="false" ht="15" hidden="false" customHeight="false" outlineLevel="0" collapsed="false">
      <c r="A201" s="29" t="s">
        <v>314</v>
      </c>
    </row>
    <row r="202" customFormat="false" ht="15" hidden="false" customHeight="false" outlineLevel="0" collapsed="false">
      <c r="A202" s="30" t="s">
        <v>315</v>
      </c>
    </row>
    <row r="203" customFormat="false" ht="15" hidden="false" customHeight="false" outlineLevel="0" collapsed="false">
      <c r="A203" s="29" t="s">
        <v>316</v>
      </c>
    </row>
    <row r="204" customFormat="false" ht="15" hidden="false" customHeight="false" outlineLevel="0" collapsed="false">
      <c r="A204" s="30"/>
    </row>
    <row r="205" customFormat="false" ht="15" hidden="false" customHeight="false" outlineLevel="0" collapsed="false">
      <c r="A205" s="34" t="s">
        <v>317</v>
      </c>
    </row>
    <row r="206" customFormat="false" ht="15" hidden="false" customHeight="false" outlineLevel="0" collapsed="false">
      <c r="A206" s="30"/>
    </row>
    <row r="207" customFormat="false" ht="15" hidden="false" customHeight="false" outlineLevel="0" collapsed="false">
      <c r="A207" s="29"/>
    </row>
    <row r="208" customFormat="false" ht="15" hidden="false" customHeight="false" outlineLevel="0" collapsed="false">
      <c r="A208" s="35" t="s">
        <v>176</v>
      </c>
    </row>
    <row r="209" customFormat="false" ht="15" hidden="false" customHeight="false" outlineLevel="0" collapsed="false">
      <c r="A209" s="33" t="s">
        <v>318</v>
      </c>
    </row>
    <row r="210" customFormat="false" ht="15" hidden="false" customHeight="false" outlineLevel="0" collapsed="false">
      <c r="A210" s="35" t="s">
        <v>176</v>
      </c>
    </row>
    <row r="211" customFormat="false" ht="15" hidden="false" customHeight="false" outlineLevel="0" collapsed="false">
      <c r="A211" s="29"/>
    </row>
    <row r="212" customFormat="false" ht="15" hidden="false" customHeight="false" outlineLevel="0" collapsed="false">
      <c r="A212" s="36" t="s">
        <v>319</v>
      </c>
    </row>
    <row r="213" customFormat="false" ht="15" hidden="false" customHeight="false" outlineLevel="0" collapsed="false">
      <c r="A213" s="29"/>
    </row>
    <row r="214" customFormat="false" ht="15" hidden="false" customHeight="false" outlineLevel="0" collapsed="false">
      <c r="A214" s="30" t="s">
        <v>186</v>
      </c>
    </row>
    <row r="215" customFormat="false" ht="15" hidden="false" customHeight="false" outlineLevel="0" collapsed="false">
      <c r="A215" s="29" t="s">
        <v>320</v>
      </c>
    </row>
    <row r="216" customFormat="false" ht="15" hidden="false" customHeight="false" outlineLevel="0" collapsed="false">
      <c r="A216" s="30" t="s">
        <v>188</v>
      </c>
    </row>
    <row r="217" customFormat="false" ht="15" hidden="false" customHeight="false" outlineLevel="0" collapsed="false">
      <c r="A217" s="29" t="s">
        <v>189</v>
      </c>
    </row>
    <row r="218" customFormat="false" ht="15" hidden="false" customHeight="false" outlineLevel="0" collapsed="false">
      <c r="A218" s="30"/>
    </row>
    <row r="219" customFormat="false" ht="15" hidden="false" customHeight="false" outlineLevel="0" collapsed="false">
      <c r="A219" s="29" t="s">
        <v>321</v>
      </c>
    </row>
    <row r="220" customFormat="false" ht="15" hidden="false" customHeight="false" outlineLevel="0" collapsed="false">
      <c r="A220" s="30" t="s">
        <v>322</v>
      </c>
    </row>
    <row r="221" customFormat="false" ht="15" hidden="false" customHeight="false" outlineLevel="0" collapsed="false">
      <c r="A221" s="29"/>
    </row>
    <row r="222" customFormat="false" ht="15" hidden="false" customHeight="false" outlineLevel="0" collapsed="false">
      <c r="A222" s="32" t="s">
        <v>323</v>
      </c>
    </row>
    <row r="223" customFormat="false" ht="15" hidden="false" customHeight="false" outlineLevel="0" collapsed="false">
      <c r="A223" s="29" t="s">
        <v>324</v>
      </c>
    </row>
    <row r="224" customFormat="false" ht="15" hidden="false" customHeight="false" outlineLevel="0" collapsed="false">
      <c r="A224" s="30" t="s">
        <v>325</v>
      </c>
    </row>
    <row r="225" customFormat="false" ht="15" hidden="false" customHeight="false" outlineLevel="0" collapsed="false">
      <c r="A225" s="29"/>
    </row>
    <row r="226" customFormat="false" ht="15" hidden="false" customHeight="false" outlineLevel="0" collapsed="false">
      <c r="A226" s="30" t="s">
        <v>326</v>
      </c>
    </row>
    <row r="227" customFormat="false" ht="15" hidden="false" customHeight="false" outlineLevel="0" collapsed="false">
      <c r="A227" s="29" t="s">
        <v>327</v>
      </c>
    </row>
    <row r="228" customFormat="false" ht="15" hidden="false" customHeight="false" outlineLevel="0" collapsed="false">
      <c r="A228" s="30" t="s">
        <v>328</v>
      </c>
    </row>
    <row r="229" customFormat="false" ht="15" hidden="false" customHeight="false" outlineLevel="0" collapsed="false">
      <c r="A229" s="29" t="s">
        <v>329</v>
      </c>
    </row>
    <row r="230" customFormat="false" ht="15" hidden="false" customHeight="false" outlineLevel="0" collapsed="false">
      <c r="A230" s="30" t="s">
        <v>330</v>
      </c>
    </row>
    <row r="231" customFormat="false" ht="15" hidden="false" customHeight="false" outlineLevel="0" collapsed="false">
      <c r="A231" s="29" t="s">
        <v>331</v>
      </c>
    </row>
    <row r="232" customFormat="false" ht="15" hidden="false" customHeight="false" outlineLevel="0" collapsed="false">
      <c r="A232" s="30" t="s">
        <v>332</v>
      </c>
    </row>
    <row r="233" customFormat="false" ht="15" hidden="false" customHeight="false" outlineLevel="0" collapsed="false">
      <c r="A233" s="29" t="s">
        <v>223</v>
      </c>
    </row>
    <row r="234" customFormat="false" ht="15" hidden="false" customHeight="false" outlineLevel="0" collapsed="false">
      <c r="A234" s="30"/>
    </row>
    <row r="235" customFormat="false" ht="15" hidden="false" customHeight="false" outlineLevel="0" collapsed="false">
      <c r="A235" s="29" t="s">
        <v>333</v>
      </c>
    </row>
    <row r="236" customFormat="false" ht="15" hidden="false" customHeight="false" outlineLevel="0" collapsed="false">
      <c r="A236" s="30" t="s">
        <v>334</v>
      </c>
    </row>
    <row r="237" customFormat="false" ht="15" hidden="false" customHeight="false" outlineLevel="0" collapsed="false">
      <c r="A237" s="29" t="s">
        <v>335</v>
      </c>
    </row>
    <row r="238" customFormat="false" ht="15" hidden="false" customHeight="false" outlineLevel="0" collapsed="false">
      <c r="A238" s="30" t="s">
        <v>336</v>
      </c>
    </row>
    <row r="239" customFormat="false" ht="15" hidden="false" customHeight="false" outlineLevel="0" collapsed="false">
      <c r="A239" s="29" t="s">
        <v>337</v>
      </c>
    </row>
    <row r="240" customFormat="false" ht="15" hidden="false" customHeight="false" outlineLevel="0" collapsed="false">
      <c r="A240" s="30" t="s">
        <v>338</v>
      </c>
    </row>
    <row r="241" customFormat="false" ht="15" hidden="false" customHeight="false" outlineLevel="0" collapsed="false">
      <c r="A241" s="29" t="s">
        <v>339</v>
      </c>
    </row>
    <row r="242" customFormat="false" ht="15" hidden="false" customHeight="false" outlineLevel="0" collapsed="false">
      <c r="A242" s="30"/>
    </row>
    <row r="243" customFormat="false" ht="15" hidden="false" customHeight="false" outlineLevel="0" collapsed="false">
      <c r="A243" s="34" t="s">
        <v>317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2"/>
    <col collapsed="false" customWidth="true" hidden="false" outlineLevel="0" max="3" min="3" style="0" width="52"/>
  </cols>
  <sheetData>
    <row r="1" customFormat="false" ht="27.75" hidden="false" customHeight="true" outlineLevel="0" collapsed="false">
      <c r="A1" s="37" t="s">
        <v>340</v>
      </c>
      <c r="B1" s="37"/>
      <c r="C1" s="37"/>
    </row>
    <row r="2" customFormat="false" ht="21.75" hidden="false" customHeight="true" outlineLevel="0" collapsed="false">
      <c r="A2" s="17" t="s">
        <v>341</v>
      </c>
      <c r="B2" s="17" t="s">
        <v>342</v>
      </c>
      <c r="C2" s="17" t="s">
        <v>343</v>
      </c>
    </row>
    <row r="3" customFormat="false" ht="19.5" hidden="false" customHeight="true" outlineLevel="0" collapsed="false">
      <c r="A3" s="38" t="s">
        <v>344</v>
      </c>
      <c r="B3" s="38"/>
      <c r="C3" s="38" t="s">
        <v>345</v>
      </c>
    </row>
    <row r="4" customFormat="false" ht="19.5" hidden="false" customHeight="true" outlineLevel="0" collapsed="false">
      <c r="A4" s="19" t="s">
        <v>346</v>
      </c>
      <c r="B4" s="19"/>
      <c r="C4" s="19" t="s">
        <v>347</v>
      </c>
    </row>
    <row r="5" customFormat="false" ht="19.5" hidden="false" customHeight="true" outlineLevel="0" collapsed="false">
      <c r="A5" s="38" t="s">
        <v>348</v>
      </c>
      <c r="B5" s="38"/>
      <c r="C5" s="38" t="s">
        <v>349</v>
      </c>
    </row>
    <row r="6" customFormat="false" ht="19.5" hidden="false" customHeight="true" outlineLevel="0" collapsed="false">
      <c r="A6" s="19" t="s">
        <v>350</v>
      </c>
      <c r="B6" s="19" t="s">
        <v>351</v>
      </c>
      <c r="C6" s="19" t="s">
        <v>352</v>
      </c>
    </row>
    <row r="7" customFormat="false" ht="19.5" hidden="false" customHeight="true" outlineLevel="0" collapsed="false">
      <c r="A7" s="38" t="s">
        <v>353</v>
      </c>
      <c r="B7" s="38" t="s">
        <v>354</v>
      </c>
      <c r="C7" s="38" t="s">
        <v>355</v>
      </c>
    </row>
    <row r="8" customFormat="false" ht="19.5" hidden="false" customHeight="true" outlineLevel="0" collapsed="false">
      <c r="A8" s="19" t="s">
        <v>356</v>
      </c>
      <c r="B8" s="19" t="s">
        <v>357</v>
      </c>
      <c r="C8" s="19" t="s">
        <v>358</v>
      </c>
    </row>
    <row r="9" customFormat="false" ht="19.5" hidden="false" customHeight="true" outlineLevel="0" collapsed="false">
      <c r="A9" s="38" t="s">
        <v>359</v>
      </c>
      <c r="B9" s="38" t="s">
        <v>360</v>
      </c>
      <c r="C9" s="38" t="s">
        <v>361</v>
      </c>
    </row>
    <row r="10" customFormat="false" ht="19.5" hidden="false" customHeight="true" outlineLevel="0" collapsed="false">
      <c r="A10" s="19" t="s">
        <v>362</v>
      </c>
      <c r="B10" s="19" t="s">
        <v>360</v>
      </c>
      <c r="C10" s="19" t="s">
        <v>363</v>
      </c>
    </row>
    <row r="11" customFormat="false" ht="19.5" hidden="false" customHeight="true" outlineLevel="0" collapsed="false">
      <c r="A11" s="38" t="s">
        <v>364</v>
      </c>
      <c r="B11" s="38"/>
      <c r="C11" s="38" t="s">
        <v>365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5"/>
  </cols>
  <sheetData>
    <row r="1" customFormat="false" ht="31.5" hidden="false" customHeight="true" outlineLevel="0" collapsed="false">
      <c r="A1" s="27" t="s">
        <v>366</v>
      </c>
      <c r="B1" s="27"/>
    </row>
    <row r="2" customFormat="false" ht="18" hidden="false" customHeight="true" outlineLevel="0" collapsed="false">
      <c r="A2" s="39" t="s">
        <v>367</v>
      </c>
      <c r="B2" s="39"/>
    </row>
    <row r="3" customFormat="false" ht="21.75" hidden="false" customHeight="true" outlineLevel="0" collapsed="false">
      <c r="A3" s="40" t="s">
        <v>368</v>
      </c>
      <c r="B3" s="40"/>
    </row>
    <row r="4" customFormat="false" ht="18" hidden="false" customHeight="true" outlineLevel="0" collapsed="false">
      <c r="A4" s="41" t="s">
        <v>369</v>
      </c>
      <c r="B4" s="41"/>
    </row>
    <row r="5" customFormat="false" ht="15.75" hidden="false" customHeight="true" outlineLevel="0" collapsed="false">
      <c r="A5" s="42" t="s">
        <v>370</v>
      </c>
      <c r="B5" s="42"/>
    </row>
    <row r="6" customFormat="false" ht="15.75" hidden="false" customHeight="true" outlineLevel="0" collapsed="false">
      <c r="A6" s="43" t="s">
        <v>371</v>
      </c>
      <c r="B6" s="43"/>
    </row>
    <row r="7" customFormat="false" ht="15.75" hidden="false" customHeight="true" outlineLevel="0" collapsed="false">
      <c r="A7" s="42" t="s">
        <v>372</v>
      </c>
      <c r="B7" s="42"/>
    </row>
    <row r="8" customFormat="false" ht="15.75" hidden="false" customHeight="true" outlineLevel="0" collapsed="false">
      <c r="A8" s="44" t="s">
        <v>373</v>
      </c>
      <c r="B8" s="44"/>
    </row>
    <row r="9" customFormat="false" ht="15.75" hidden="false" customHeight="true" outlineLevel="0" collapsed="false">
      <c r="A9" s="45" t="s">
        <v>374</v>
      </c>
      <c r="B9" s="45"/>
    </row>
    <row r="10" customFormat="false" ht="15.75" hidden="false" customHeight="true" outlineLevel="0" collapsed="false">
      <c r="A10" s="44" t="s">
        <v>375</v>
      </c>
      <c r="B10" s="44"/>
    </row>
    <row r="11" customFormat="false" ht="15.75" hidden="false" customHeight="true" outlineLevel="0" collapsed="false">
      <c r="A11" s="42" t="s">
        <v>376</v>
      </c>
      <c r="B11" s="42"/>
    </row>
    <row r="12" customFormat="false" ht="15.75" hidden="false" customHeight="true" outlineLevel="0" collapsed="false">
      <c r="A12" s="44" t="s">
        <v>377</v>
      </c>
      <c r="B12" s="44"/>
    </row>
    <row r="13" customFormat="false" ht="9.75" hidden="false" customHeight="true" outlineLevel="0" collapsed="false"/>
    <row r="14" customFormat="false" ht="21.75" hidden="false" customHeight="true" outlineLevel="0" collapsed="false">
      <c r="A14" s="40" t="s">
        <v>378</v>
      </c>
      <c r="B14" s="40"/>
    </row>
    <row r="15" customFormat="false" ht="18" hidden="false" customHeight="true" outlineLevel="0" collapsed="false">
      <c r="A15" s="41" t="s">
        <v>379</v>
      </c>
      <c r="B15" s="41"/>
    </row>
    <row r="16" customFormat="false" ht="15.75" hidden="false" customHeight="true" outlineLevel="0" collapsed="false">
      <c r="A16" s="44" t="s">
        <v>370</v>
      </c>
      <c r="B16" s="44"/>
    </row>
    <row r="17" customFormat="false" ht="15.75" hidden="false" customHeight="true" outlineLevel="0" collapsed="false">
      <c r="A17" s="45" t="s">
        <v>380</v>
      </c>
      <c r="B17" s="45"/>
    </row>
    <row r="18" customFormat="false" ht="15.75" hidden="false" customHeight="true" outlineLevel="0" collapsed="false">
      <c r="A18" s="44" t="s">
        <v>381</v>
      </c>
      <c r="B18" s="44"/>
    </row>
    <row r="19" customFormat="false" ht="15.75" hidden="false" customHeight="true" outlineLevel="0" collapsed="false">
      <c r="A19" s="42" t="s">
        <v>382</v>
      </c>
      <c r="B19" s="42"/>
    </row>
    <row r="20" customFormat="false" ht="15.75" hidden="false" customHeight="true" outlineLevel="0" collapsed="false">
      <c r="A20" s="44" t="s">
        <v>383</v>
      </c>
      <c r="B20" s="44"/>
    </row>
    <row r="21" customFormat="false" ht="15.75" hidden="false" customHeight="true" outlineLevel="0" collapsed="false">
      <c r="A21" s="42" t="s">
        <v>384</v>
      </c>
      <c r="B21" s="42"/>
    </row>
    <row r="22" customFormat="false" ht="15.75" hidden="false" customHeight="true" outlineLevel="0" collapsed="false">
      <c r="A22" s="44" t="s">
        <v>375</v>
      </c>
      <c r="B22" s="44"/>
    </row>
    <row r="23" customFormat="false" ht="15.75" hidden="false" customHeight="true" outlineLevel="0" collapsed="false">
      <c r="A23" s="42" t="s">
        <v>385</v>
      </c>
      <c r="B23" s="42"/>
    </row>
    <row r="24" customFormat="false" ht="15.75" hidden="false" customHeight="true" outlineLevel="0" collapsed="false">
      <c r="A24" s="44" t="s">
        <v>386</v>
      </c>
      <c r="B24" s="44"/>
    </row>
    <row r="25" customFormat="false" ht="15.75" hidden="false" customHeight="true" outlineLevel="0" collapsed="false">
      <c r="A25" s="42" t="s">
        <v>387</v>
      </c>
      <c r="B25" s="42"/>
    </row>
    <row r="26" customFormat="false" ht="15.75" hidden="false" customHeight="true" outlineLevel="0" collapsed="false">
      <c r="A26" s="44" t="s">
        <v>388</v>
      </c>
      <c r="B26" s="44"/>
    </row>
    <row r="27" customFormat="false" ht="9.75" hidden="false" customHeight="true" outlineLevel="0" collapsed="false"/>
    <row r="28" customFormat="false" ht="21.75" hidden="false" customHeight="true" outlineLevel="0" collapsed="false">
      <c r="A28" s="40" t="s">
        <v>389</v>
      </c>
      <c r="B28" s="40"/>
    </row>
    <row r="29" customFormat="false" ht="18" hidden="false" customHeight="true" outlineLevel="0" collapsed="false">
      <c r="A29" s="41" t="s">
        <v>390</v>
      </c>
      <c r="B29" s="41"/>
    </row>
    <row r="30" customFormat="false" ht="15.75" hidden="false" customHeight="true" outlineLevel="0" collapsed="false">
      <c r="A30" s="44" t="s">
        <v>370</v>
      </c>
      <c r="B30" s="44"/>
    </row>
    <row r="31" customFormat="false" ht="15.75" hidden="false" customHeight="true" outlineLevel="0" collapsed="false">
      <c r="A31" s="45" t="s">
        <v>391</v>
      </c>
      <c r="B31" s="45"/>
    </row>
    <row r="32" customFormat="false" ht="15.75" hidden="false" customHeight="true" outlineLevel="0" collapsed="false">
      <c r="A32" s="43" t="s">
        <v>392</v>
      </c>
      <c r="B32" s="43"/>
    </row>
    <row r="33" customFormat="false" ht="15.75" hidden="false" customHeight="true" outlineLevel="0" collapsed="false">
      <c r="A33" s="42" t="s">
        <v>393</v>
      </c>
      <c r="B33" s="42"/>
    </row>
    <row r="34" customFormat="false" ht="15.75" hidden="false" customHeight="true" outlineLevel="0" collapsed="false">
      <c r="A34" s="44" t="s">
        <v>375</v>
      </c>
      <c r="B34" s="44"/>
    </row>
    <row r="35" customFormat="false" ht="15.75" hidden="false" customHeight="true" outlineLevel="0" collapsed="false">
      <c r="A35" s="42" t="s">
        <v>394</v>
      </c>
      <c r="B35" s="42"/>
    </row>
    <row r="36" customFormat="false" ht="15.75" hidden="false" customHeight="true" outlineLevel="0" collapsed="false">
      <c r="A36" s="44" t="s">
        <v>395</v>
      </c>
      <c r="B36" s="44"/>
    </row>
    <row r="37" customFormat="false" ht="15.75" hidden="false" customHeight="true" outlineLevel="0" collapsed="false">
      <c r="A37" s="42" t="s">
        <v>396</v>
      </c>
      <c r="B37" s="42"/>
    </row>
    <row r="38" customFormat="false" ht="15.75" hidden="false" customHeight="true" outlineLevel="0" collapsed="false">
      <c r="A38" s="44" t="s">
        <v>397</v>
      </c>
      <c r="B38" s="44"/>
    </row>
    <row r="39" customFormat="false" ht="15.75" hidden="false" customHeight="true" outlineLevel="0" collapsed="false">
      <c r="A39" s="42" t="s">
        <v>398</v>
      </c>
      <c r="B39" s="42"/>
    </row>
    <row r="40" customFormat="false" ht="15.75" hidden="false" customHeight="true" outlineLevel="0" collapsed="false">
      <c r="A40" s="44" t="s">
        <v>399</v>
      </c>
      <c r="B40" s="44"/>
    </row>
    <row r="41" customFormat="false" ht="15.75" hidden="false" customHeight="true" outlineLevel="0" collapsed="false">
      <c r="A41" s="42" t="s">
        <v>400</v>
      </c>
      <c r="B41" s="42"/>
    </row>
    <row r="42" customFormat="false" ht="15.75" hidden="false" customHeight="true" outlineLevel="0" collapsed="false">
      <c r="A42" s="44" t="s">
        <v>401</v>
      </c>
      <c r="B42" s="44"/>
    </row>
    <row r="43" customFormat="false" ht="9.75" hidden="false" customHeight="true" outlineLevel="0" collapsed="false"/>
    <row r="44" customFormat="false" ht="21.75" hidden="false" customHeight="true" outlineLevel="0" collapsed="false">
      <c r="A44" s="40" t="s">
        <v>402</v>
      </c>
      <c r="B44" s="40"/>
    </row>
    <row r="45" customFormat="false" ht="18" hidden="false" customHeight="true" outlineLevel="0" collapsed="false">
      <c r="A45" s="41" t="s">
        <v>403</v>
      </c>
      <c r="B45" s="41"/>
    </row>
    <row r="46" customFormat="false" ht="15.75" hidden="false" customHeight="true" outlineLevel="0" collapsed="false">
      <c r="A46" s="44" t="s">
        <v>370</v>
      </c>
      <c r="B46" s="44"/>
    </row>
    <row r="47" customFormat="false" ht="15.75" hidden="false" customHeight="true" outlineLevel="0" collapsed="false">
      <c r="A47" s="45" t="s">
        <v>391</v>
      </c>
      <c r="B47" s="45"/>
    </row>
    <row r="48" customFormat="false" ht="15.75" hidden="false" customHeight="true" outlineLevel="0" collapsed="false">
      <c r="A48" s="44" t="s">
        <v>404</v>
      </c>
      <c r="B48" s="44"/>
    </row>
    <row r="49" customFormat="false" ht="15.75" hidden="false" customHeight="true" outlineLevel="0" collapsed="false">
      <c r="A49" s="42" t="s">
        <v>405</v>
      </c>
      <c r="B49" s="42"/>
    </row>
    <row r="50" customFormat="false" ht="15.75" hidden="false" customHeight="true" outlineLevel="0" collapsed="false">
      <c r="A50" s="44" t="s">
        <v>406</v>
      </c>
      <c r="B50" s="44"/>
    </row>
    <row r="51" customFormat="false" ht="15.75" hidden="false" customHeight="true" outlineLevel="0" collapsed="false">
      <c r="A51" s="42" t="s">
        <v>407</v>
      </c>
      <c r="B51" s="42"/>
    </row>
    <row r="52" customFormat="false" ht="15.75" hidden="false" customHeight="true" outlineLevel="0" collapsed="false">
      <c r="A52" s="44" t="s">
        <v>375</v>
      </c>
      <c r="B52" s="44"/>
    </row>
    <row r="53" customFormat="false" ht="15.75" hidden="false" customHeight="true" outlineLevel="0" collapsed="false">
      <c r="A53" s="42" t="s">
        <v>408</v>
      </c>
      <c r="B53" s="42"/>
    </row>
    <row r="54" customFormat="false" ht="15.75" hidden="false" customHeight="true" outlineLevel="0" collapsed="false">
      <c r="A54" s="44" t="s">
        <v>409</v>
      </c>
      <c r="B54" s="44"/>
    </row>
    <row r="55" customFormat="false" ht="15.75" hidden="false" customHeight="true" outlineLevel="0" collapsed="false">
      <c r="A55" s="42" t="s">
        <v>410</v>
      </c>
      <c r="B55" s="42"/>
    </row>
    <row r="56" customFormat="false" ht="9.75" hidden="false" customHeight="true" outlineLevel="0" collapsed="false"/>
    <row r="57" customFormat="false" ht="21.75" hidden="false" customHeight="true" outlineLevel="0" collapsed="false">
      <c r="A57" s="40" t="s">
        <v>411</v>
      </c>
      <c r="B57" s="40"/>
    </row>
    <row r="58" customFormat="false" ht="18" hidden="false" customHeight="true" outlineLevel="0" collapsed="false">
      <c r="A58" s="41" t="s">
        <v>412</v>
      </c>
      <c r="B58" s="41"/>
    </row>
    <row r="59" customFormat="false" ht="15.75" hidden="false" customHeight="true" outlineLevel="0" collapsed="false">
      <c r="A59" s="42" t="s">
        <v>370</v>
      </c>
      <c r="B59" s="42"/>
    </row>
    <row r="60" customFormat="false" ht="15.75" hidden="false" customHeight="true" outlineLevel="0" collapsed="false">
      <c r="A60" s="43" t="s">
        <v>413</v>
      </c>
      <c r="B60" s="43"/>
    </row>
    <row r="61" customFormat="false" ht="15.75" hidden="false" customHeight="true" outlineLevel="0" collapsed="false">
      <c r="A61" s="45" t="s">
        <v>414</v>
      </c>
      <c r="B61" s="45"/>
    </row>
    <row r="62" customFormat="false" ht="15.75" hidden="false" customHeight="true" outlineLevel="0" collapsed="false">
      <c r="A62" s="43" t="s">
        <v>391</v>
      </c>
      <c r="B62" s="43"/>
    </row>
    <row r="63" customFormat="false" ht="15.75" hidden="false" customHeight="true" outlineLevel="0" collapsed="false">
      <c r="A63" s="45" t="s">
        <v>392</v>
      </c>
      <c r="B63" s="45"/>
    </row>
    <row r="64" customFormat="false" ht="15.75" hidden="false" customHeight="true" outlineLevel="0" collapsed="false">
      <c r="A64" s="43" t="s">
        <v>371</v>
      </c>
      <c r="B64" s="43"/>
    </row>
    <row r="65" customFormat="false" ht="15.75" hidden="false" customHeight="true" outlineLevel="0" collapsed="false">
      <c r="A65" s="45" t="s">
        <v>415</v>
      </c>
      <c r="B65" s="45"/>
    </row>
    <row r="66" customFormat="false" ht="15.75" hidden="false" customHeight="true" outlineLevel="0" collapsed="false">
      <c r="A66" s="43" t="s">
        <v>416</v>
      </c>
      <c r="B66" s="43"/>
    </row>
    <row r="67" customFormat="false" ht="15.75" hidden="false" customHeight="true" outlineLevel="0" collapsed="false">
      <c r="A67" s="42" t="s">
        <v>375</v>
      </c>
      <c r="B67" s="42"/>
    </row>
    <row r="68" customFormat="false" ht="15.75" hidden="false" customHeight="true" outlineLevel="0" collapsed="false">
      <c r="A68" s="44" t="s">
        <v>417</v>
      </c>
      <c r="B68" s="44"/>
    </row>
    <row r="69" customFormat="false" ht="15.75" hidden="false" customHeight="true" outlineLevel="0" collapsed="false">
      <c r="A69" s="42" t="s">
        <v>418</v>
      </c>
      <c r="B69" s="42"/>
    </row>
    <row r="70" customFormat="false" ht="15.75" hidden="false" customHeight="true" outlineLevel="0" collapsed="false">
      <c r="A70" s="44" t="s">
        <v>419</v>
      </c>
      <c r="B70" s="44"/>
    </row>
    <row r="71" customFormat="false" ht="15.75" hidden="false" customHeight="true" outlineLevel="0" collapsed="false">
      <c r="A71" s="42" t="s">
        <v>420</v>
      </c>
      <c r="B71" s="42"/>
    </row>
    <row r="72" customFormat="false" ht="15.75" hidden="false" customHeight="true" outlineLevel="0" collapsed="false">
      <c r="A72" s="43" t="s">
        <v>421</v>
      </c>
      <c r="B72" s="43"/>
    </row>
    <row r="73" customFormat="false" ht="9.75" hidden="false" customHeight="true" outlineLevel="0" collapsed="false"/>
    <row r="74" customFormat="false" ht="21.75" hidden="false" customHeight="true" outlineLevel="0" collapsed="false">
      <c r="A74" s="40" t="s">
        <v>422</v>
      </c>
      <c r="B74" s="40"/>
    </row>
    <row r="75" customFormat="false" ht="18" hidden="false" customHeight="true" outlineLevel="0" collapsed="false">
      <c r="A75" s="41" t="s">
        <v>423</v>
      </c>
      <c r="B75" s="41"/>
    </row>
    <row r="76" customFormat="false" ht="15.75" hidden="false" customHeight="true" outlineLevel="0" collapsed="false">
      <c r="A76" s="44" t="s">
        <v>370</v>
      </c>
      <c r="B76" s="44"/>
    </row>
    <row r="77" customFormat="false" ht="15.75" hidden="false" customHeight="true" outlineLevel="0" collapsed="false">
      <c r="A77" s="45" t="s">
        <v>424</v>
      </c>
      <c r="B77" s="45"/>
    </row>
    <row r="78" customFormat="false" ht="15.75" hidden="false" customHeight="true" outlineLevel="0" collapsed="false">
      <c r="A78" s="44" t="s">
        <v>425</v>
      </c>
      <c r="B78" s="44"/>
    </row>
    <row r="79" customFormat="false" ht="15.75" hidden="false" customHeight="true" outlineLevel="0" collapsed="false">
      <c r="A79" s="42" t="s">
        <v>426</v>
      </c>
      <c r="B79" s="42"/>
    </row>
    <row r="80" customFormat="false" ht="15.75" hidden="false" customHeight="true" outlineLevel="0" collapsed="false">
      <c r="A80" s="44" t="s">
        <v>427</v>
      </c>
      <c r="B80" s="44"/>
    </row>
    <row r="81" customFormat="false" ht="15.75" hidden="false" customHeight="true" outlineLevel="0" collapsed="false">
      <c r="A81" s="42" t="s">
        <v>375</v>
      </c>
      <c r="B81" s="42"/>
    </row>
    <row r="82" customFormat="false" ht="15.75" hidden="false" customHeight="true" outlineLevel="0" collapsed="false">
      <c r="A82" s="44" t="s">
        <v>428</v>
      </c>
      <c r="B82" s="44"/>
    </row>
    <row r="83" customFormat="false" ht="15.75" hidden="false" customHeight="true" outlineLevel="0" collapsed="false">
      <c r="A83" s="42" t="s">
        <v>429</v>
      </c>
      <c r="B83" s="42"/>
    </row>
    <row r="84" customFormat="false" ht="9.75" hidden="false" customHeight="true" outlineLevel="0" collapsed="false"/>
    <row r="85" customFormat="false" ht="21.75" hidden="false" customHeight="true" outlineLevel="0" collapsed="false">
      <c r="A85" s="40" t="s">
        <v>430</v>
      </c>
      <c r="B85" s="40"/>
    </row>
    <row r="86" customFormat="false" ht="18" hidden="false" customHeight="true" outlineLevel="0" collapsed="false">
      <c r="A86" s="41" t="s">
        <v>431</v>
      </c>
      <c r="B86" s="41"/>
    </row>
    <row r="87" customFormat="false" ht="15.75" hidden="false" customHeight="true" outlineLevel="0" collapsed="false">
      <c r="A87" s="42" t="s">
        <v>370</v>
      </c>
      <c r="B87" s="42"/>
    </row>
    <row r="88" customFormat="false" ht="15.75" hidden="false" customHeight="true" outlineLevel="0" collapsed="false">
      <c r="A88" s="43" t="s">
        <v>432</v>
      </c>
      <c r="B88" s="43"/>
    </row>
    <row r="89" customFormat="false" ht="15.75" hidden="false" customHeight="true" outlineLevel="0" collapsed="false">
      <c r="A89" s="42" t="s">
        <v>433</v>
      </c>
      <c r="B89" s="42"/>
    </row>
    <row r="90" customFormat="false" ht="15.75" hidden="false" customHeight="true" outlineLevel="0" collapsed="false">
      <c r="A90" s="44" t="s">
        <v>434</v>
      </c>
      <c r="B90" s="44"/>
    </row>
    <row r="91" customFormat="false" ht="15.75" hidden="false" customHeight="true" outlineLevel="0" collapsed="false">
      <c r="A91" s="42" t="s">
        <v>375</v>
      </c>
      <c r="B91" s="42"/>
    </row>
    <row r="92" customFormat="false" ht="15.75" hidden="false" customHeight="true" outlineLevel="0" collapsed="false">
      <c r="A92" s="44" t="s">
        <v>435</v>
      </c>
      <c r="B92" s="44"/>
    </row>
    <row r="93" customFormat="false" ht="15.75" hidden="false" customHeight="true" outlineLevel="0" collapsed="false">
      <c r="A93" s="42" t="s">
        <v>436</v>
      </c>
      <c r="B93" s="42"/>
    </row>
    <row r="94" customFormat="false" ht="15.75" hidden="false" customHeight="true" outlineLevel="0" collapsed="false">
      <c r="A94" s="44" t="s">
        <v>437</v>
      </c>
      <c r="B94" s="44"/>
    </row>
    <row r="95" customFormat="false" ht="9.75" hidden="false" customHeight="true" outlineLevel="0" collapsed="false"/>
  </sheetData>
  <mergeCells count="88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5"/>
    <col collapsed="false" customWidth="true" hidden="false" outlineLevel="0" max="5" min="5" style="0" width="22"/>
    <col collapsed="false" customWidth="true" hidden="false" outlineLevel="0" max="6" min="6" style="0" width="12"/>
  </cols>
  <sheetData>
    <row r="1" customFormat="false" ht="31.5" hidden="false" customHeight="true" outlineLevel="0" collapsed="false">
      <c r="A1" s="46" t="s">
        <v>438</v>
      </c>
      <c r="B1" s="46"/>
      <c r="C1" s="46"/>
      <c r="D1" s="46"/>
      <c r="E1" s="46"/>
      <c r="F1" s="46"/>
    </row>
    <row r="2" customFormat="false" ht="15.75" hidden="false" customHeight="true" outlineLevel="0" collapsed="false">
      <c r="A2" s="16" t="s">
        <v>439</v>
      </c>
      <c r="B2" s="16"/>
      <c r="C2" s="16"/>
      <c r="D2" s="16"/>
      <c r="E2" s="16"/>
      <c r="F2" s="16"/>
    </row>
    <row r="4" customFormat="false" ht="21.75" hidden="false" customHeight="true" outlineLevel="0" collapsed="false">
      <c r="A4" s="47" t="s">
        <v>440</v>
      </c>
      <c r="B4" s="47"/>
      <c r="C4" s="48" t="s">
        <v>19</v>
      </c>
      <c r="D4" s="48"/>
      <c r="E4" s="49" t="s">
        <v>441</v>
      </c>
      <c r="F4" s="49"/>
      <c r="G4" s="50" t="s">
        <v>442</v>
      </c>
      <c r="H4" s="50"/>
    </row>
    <row r="5" customFormat="false" ht="36" hidden="false" customHeight="true" outlineLevel="0" collapsed="false">
      <c r="A5" s="51" t="n">
        <f aca="false">COUNTA('Clean Data (After Macro)'!A4:A1000)</f>
        <v>17</v>
      </c>
      <c r="B5" s="51"/>
      <c r="C5" s="52" t="n">
        <f aca="false">COUNTIF('Clean Data (After Macro)'!G:G,"Resolved")</f>
        <v>7</v>
      </c>
      <c r="D5" s="52"/>
      <c r="E5" s="53" t="n">
        <f aca="false">COUNTIFS('Clean Data (After Macro)'!G:G,"Open")+COUNTIFS('Clean Data (After Macro)'!G:G,"Pending")</f>
        <v>7</v>
      </c>
      <c r="F5" s="53"/>
      <c r="G5" s="54" t="n">
        <f aca="false">AVERAGEIF('Clean Data (After Macro)'!K:K,"&lt;&gt;N/A",'Clean Data (After Macro)'!K:K)</f>
        <v>3.96666666666667</v>
      </c>
      <c r="H5" s="54"/>
    </row>
    <row r="8" customFormat="false" ht="15" hidden="false" customHeight="false" outlineLevel="0" collapsed="false">
      <c r="A8" s="55" t="s">
        <v>443</v>
      </c>
      <c r="E8" s="55" t="s">
        <v>444</v>
      </c>
    </row>
    <row r="9" customFormat="false" ht="15" hidden="false" customHeight="false" outlineLevel="0" collapsed="false">
      <c r="A9" s="17" t="s">
        <v>7</v>
      </c>
      <c r="B9" s="17" t="s">
        <v>445</v>
      </c>
      <c r="C9" s="17" t="s">
        <v>446</v>
      </c>
      <c r="E9" s="17" t="s">
        <v>447</v>
      </c>
      <c r="F9" s="17" t="s">
        <v>445</v>
      </c>
    </row>
    <row r="10" customFormat="false" ht="15" hidden="false" customHeight="false" outlineLevel="0" collapsed="false">
      <c r="A10" s="56" t="s">
        <v>19</v>
      </c>
      <c r="B10" s="22" t="n">
        <f aca="false">COUNTIF('Clean Data (After Macro)'!G:G,A10)</f>
        <v>7</v>
      </c>
      <c r="C10" s="57" t="n">
        <f aca="false">B10/COUNTA('Clean Data (After Macro)'!A4:A1000)</f>
        <v>0.411764705882353</v>
      </c>
      <c r="E10" s="56" t="s">
        <v>17</v>
      </c>
      <c r="F10" s="22" t="n">
        <f aca="false">COUNTIF('Clean Data (After Macro)'!E:E,E10)</f>
        <v>3</v>
      </c>
    </row>
    <row r="11" customFormat="false" ht="15" hidden="false" customHeight="false" outlineLevel="0" collapsed="false">
      <c r="A11" s="56" t="s">
        <v>38</v>
      </c>
      <c r="B11" s="22" t="n">
        <f aca="false">COUNTIF('Clean Data (After Macro)'!G:G,A11)</f>
        <v>4</v>
      </c>
      <c r="C11" s="57" t="n">
        <f aca="false">B11/COUNTA('Clean Data (After Macro)'!A4:A1000)</f>
        <v>0.235294117647059</v>
      </c>
      <c r="E11" s="56" t="s">
        <v>36</v>
      </c>
      <c r="F11" s="22" t="n">
        <f aca="false">COUNTIF('Clean Data (After Macro)'!E:E,E11)</f>
        <v>3</v>
      </c>
    </row>
    <row r="12" customFormat="false" ht="15" hidden="false" customHeight="false" outlineLevel="0" collapsed="false">
      <c r="A12" s="56" t="s">
        <v>65</v>
      </c>
      <c r="B12" s="22" t="n">
        <f aca="false">COUNTIF('Clean Data (After Macro)'!G:G,A12)</f>
        <v>3</v>
      </c>
      <c r="C12" s="57" t="n">
        <f aca="false">B12/COUNTA('Clean Data (After Macro)'!A4:A1000)</f>
        <v>0.176470588235294</v>
      </c>
      <c r="E12" s="56" t="s">
        <v>53</v>
      </c>
      <c r="F12" s="22" t="n">
        <f aca="false">COUNTIF('Clean Data (After Macro)'!E:E,E12)</f>
        <v>3</v>
      </c>
    </row>
    <row r="13" customFormat="false" ht="15" hidden="false" customHeight="false" outlineLevel="0" collapsed="false">
      <c r="A13" s="56" t="s">
        <v>55</v>
      </c>
      <c r="B13" s="22" t="n">
        <f aca="false">COUNTIF('Clean Data (After Macro)'!G:G,A13)</f>
        <v>3</v>
      </c>
      <c r="C13" s="57" t="n">
        <f aca="false">B13/COUNTA('Clean Data (After Macro)'!A4:A1000)</f>
        <v>0.176470588235294</v>
      </c>
      <c r="E13" s="56" t="s">
        <v>63</v>
      </c>
      <c r="F13" s="22" t="n">
        <f aca="false">COUNTIF('Clean Data (After Macro)'!E:E,E13)</f>
        <v>3</v>
      </c>
    </row>
    <row r="14" customFormat="false" ht="15" hidden="false" customHeight="false" outlineLevel="0" collapsed="false">
      <c r="E14" s="56" t="s">
        <v>73</v>
      </c>
      <c r="F14" s="22" t="n">
        <f aca="false">COUNTIF('Clean Data (After Macro)'!E:E,E14)</f>
        <v>2</v>
      </c>
    </row>
    <row r="15" customFormat="false" ht="15" hidden="false" customHeight="false" outlineLevel="0" collapsed="false">
      <c r="E15" s="56" t="s">
        <v>90</v>
      </c>
      <c r="F15" s="22" t="n">
        <f aca="false">COUNTIF('Clean Data (After Macro)'!E:E,E15)</f>
        <v>3</v>
      </c>
    </row>
  </sheetData>
  <mergeCells count="10">
    <mergeCell ref="A1:F1"/>
    <mergeCell ref="A2:F2"/>
    <mergeCell ref="A4:B4"/>
    <mergeCell ref="C4:D4"/>
    <mergeCell ref="E4:F4"/>
    <mergeCell ref="G4:H4"/>
    <mergeCell ref="A5:B5"/>
    <mergeCell ref="C5:D5"/>
    <mergeCell ref="E5:F5"/>
    <mergeCell ref="G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2026-06-05T04:42:47Z</dcterms:created>
  <dc:creator>openpyxl</dc:creator>
  <dc:description/>
  <dc:language>en-US</dc:language>
  <cp:lastModifiedBy/>
  <dcterms:modified xsi:type="dcterms:W3CDTF">2026-06-05T04:42:47Z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